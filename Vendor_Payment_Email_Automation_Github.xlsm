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 defaultThemeVersion="202300"/>
  <xr:revisionPtr revIDLastSave="0" documentId="13_ncr:1_{24738D56-B3EB-441E-BB4B-CECA676F13D1}" xr6:coauthVersionLast="47" xr6:coauthVersionMax="47" xr10:uidLastSave="{00000000-0000-0000-0000-000000000000}"/>
  <bookViews>
    <workbookView xWindow="28680" yWindow="-120" windowWidth="29040" windowHeight="15720" activeTab="1" xr2:uid="{B447CC55-DE76-4AC2-AEF2-AD0C82B32C03}"/>
  </bookViews>
  <sheets>
    <sheet name="Instructions" sheetId="6" r:id="rId1"/>
    <sheet name="Wires" sheetId="1" r:id="rId2"/>
    <sheet name="Wire Template" sheetId="2" r:id="rId3"/>
    <sheet name="Vendors" sheetId="4" r:id="rId4"/>
    <sheet name="Entity" sheetId="5" r:id="rId5"/>
  </sheets>
  <definedNames>
    <definedName name="_xlnm._FilterDatabase" localSheetId="3" hidden="1">Vendors!$A$1:$H$61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3" i="2" l="1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F32" i="2"/>
  <c r="F31" i="2"/>
  <c r="F30" i="2"/>
  <c r="F29" i="2"/>
  <c r="F28" i="2"/>
  <c r="B2" i="1"/>
  <c r="A8" i="2" s="1"/>
  <c r="C2" i="1"/>
  <c r="A9" i="2" s="1"/>
  <c r="D2" i="1"/>
  <c r="A10" i="2" s="1"/>
  <c r="E2" i="1"/>
  <c r="A11" i="2" s="1"/>
  <c r="F2" i="1"/>
  <c r="A12" i="2" s="1"/>
  <c r="A2" i="1"/>
  <c r="A7" i="2" s="1"/>
  <c r="F3" i="1"/>
  <c r="B12" i="2" s="1"/>
  <c r="F12" i="2" s="1"/>
  <c r="E3" i="1"/>
  <c r="B11" i="2" s="1"/>
  <c r="F11" i="2" s="1"/>
  <c r="D3" i="1"/>
  <c r="B10" i="2" s="1"/>
  <c r="F10" i="2" s="1"/>
  <c r="C3" i="1"/>
  <c r="B9" i="2" s="1"/>
  <c r="F9" i="2" s="1"/>
  <c r="B3" i="1"/>
  <c r="B8" i="2" s="1"/>
  <c r="F8" i="2" s="1"/>
  <c r="A3" i="1"/>
  <c r="B7" i="2" s="1"/>
  <c r="F7" i="2" s="1"/>
  <c r="G32" i="2" l="1" a="1"/>
  <c r="E32" i="2" a="1"/>
  <c r="D32" i="2" a="1"/>
  <c r="C32" i="2" a="1"/>
  <c r="G31" i="2" a="1"/>
  <c r="E31" i="2" a="1"/>
  <c r="D31" i="2" a="1"/>
  <c r="C31" i="2" a="1"/>
  <c r="G30" i="2" a="1"/>
  <c r="E30" i="2" a="1"/>
  <c r="D30" i="2" a="1"/>
  <c r="C30" i="2" a="1"/>
  <c r="C29" i="2" a="1"/>
  <c r="D29" i="2" a="1"/>
  <c r="E29" i="2" a="1"/>
  <c r="G29" i="2" a="1"/>
  <c r="G28" i="2" a="1"/>
  <c r="E28" i="2" a="1"/>
  <c r="D28" i="2" a="1"/>
  <c r="C28" i="2" a="1"/>
  <c r="G27" i="2" a="1"/>
  <c r="E27" i="2" a="1"/>
  <c r="D27" i="2" a="1"/>
  <c r="C27" i="2" a="1"/>
  <c r="E26" i="2" a="1"/>
  <c r="D26" i="2" a="1"/>
  <c r="C26" i="2" a="1"/>
  <c r="G26" i="2" a="1"/>
  <c r="C8" i="2" a="1"/>
  <c r="D8" i="2" a="1"/>
  <c r="E8" i="2" a="1"/>
  <c r="C9" i="2" a="1"/>
  <c r="D9" i="2" a="1"/>
  <c r="E9" i="2" a="1"/>
  <c r="D10" i="2" a="1"/>
  <c r="C10" i="2" a="1"/>
  <c r="E10" i="2" a="1"/>
  <c r="C11" i="2" a="1"/>
  <c r="D11" i="2" a="1"/>
  <c r="E11" i="2" a="1"/>
  <c r="D12" i="2" a="1"/>
  <c r="E12" i="2" a="1"/>
  <c r="C12" i="2" a="1"/>
  <c r="D13" i="2" a="1"/>
  <c r="E13" i="2" a="1"/>
  <c r="C13" i="2" a="1"/>
  <c r="C14" i="2" a="1"/>
  <c r="D14" i="2" a="1"/>
  <c r="E14" i="2" a="1"/>
  <c r="C15" i="2" a="1"/>
  <c r="D15" i="2" a="1"/>
  <c r="E15" i="2" a="1"/>
  <c r="E16" i="2" a="1"/>
  <c r="D16" i="2" a="1"/>
  <c r="C16" i="2" a="1"/>
  <c r="E17" i="2" a="1"/>
  <c r="D17" i="2" a="1"/>
  <c r="C17" i="2" a="1"/>
  <c r="C18" i="2" a="1"/>
  <c r="D18" i="2" a="1"/>
  <c r="E18" i="2" a="1"/>
  <c r="C19" i="2" a="1"/>
  <c r="D19" i="2" a="1"/>
  <c r="E19" i="2" a="1"/>
  <c r="D20" i="2" a="1"/>
  <c r="E20" i="2" a="1"/>
  <c r="C20" i="2" a="1"/>
  <c r="E21" i="2" a="1"/>
  <c r="C21" i="2" a="1"/>
  <c r="D21" i="2" a="1"/>
  <c r="E22" i="2" a="1"/>
  <c r="C22" i="2" a="1"/>
  <c r="D22" i="2" a="1"/>
  <c r="D23" i="2" a="1"/>
  <c r="C23" i="2" a="1"/>
  <c r="E23" i="2" a="1"/>
  <c r="C24" i="2" a="1"/>
  <c r="D24" i="2" a="1"/>
  <c r="E24" i="2" a="1"/>
  <c r="C25" i="2" a="1"/>
  <c r="E25" i="2" a="1"/>
  <c r="D25" i="2" a="1"/>
  <c r="E7" i="2" a="1"/>
  <c r="C7" i="2" a="1"/>
  <c r="D7" i="2" a="1"/>
  <c r="G7" i="2" a="1"/>
  <c r="G24" i="2" a="1"/>
  <c r="G23" i="2" a="1"/>
  <c r="G22" i="2" a="1"/>
  <c r="G21" i="2" a="1"/>
  <c r="G20" i="2" a="1"/>
  <c r="G19" i="2" a="1"/>
  <c r="G18" i="2" a="1"/>
  <c r="G17" i="2" a="1"/>
  <c r="G16" i="2" a="1"/>
  <c r="G15" i="2" a="1"/>
  <c r="G14" i="2" a="1"/>
  <c r="G13" i="2" a="1"/>
  <c r="G12" i="2" a="1"/>
  <c r="G11" i="2" a="1"/>
  <c r="G10" i="2" a="1"/>
  <c r="G9" i="2" a="1"/>
  <c r="G8" i="2" a="1"/>
  <c r="G25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<sst xmlns="http://schemas.openxmlformats.org/spreadsheetml/2006/main" count="336" uniqueCount="120">
  <si>
    <t>Wire to</t>
  </si>
  <si>
    <t>Wire from</t>
  </si>
  <si>
    <t>Amount</t>
  </si>
  <si>
    <t>Wire fee</t>
  </si>
  <si>
    <t>Total</t>
  </si>
  <si>
    <t>Wire date</t>
  </si>
  <si>
    <t>Message to recipient</t>
  </si>
  <si>
    <t>Message to recipient bank</t>
  </si>
  <si>
    <t>None</t>
  </si>
  <si>
    <t>Memo</t>
  </si>
  <si>
    <t>Status date</t>
  </si>
  <si>
    <t>Status</t>
  </si>
  <si>
    <t>Completed</t>
  </si>
  <si>
    <t>Submitted by</t>
  </si>
  <si>
    <t>Submitted by date and timestamp</t>
  </si>
  <si>
    <t>Last modified by</t>
  </si>
  <si>
    <t>Not Available</t>
  </si>
  <si>
    <t>Reference number</t>
  </si>
  <si>
    <t>Not applicable</t>
  </si>
  <si>
    <t>Frequency</t>
  </si>
  <si>
    <t>Transaction number</t>
  </si>
  <si>
    <t>CC</t>
  </si>
  <si>
    <t>Subject Line</t>
  </si>
  <si>
    <t>Body</t>
  </si>
  <si>
    <t>Dear</t>
  </si>
  <si>
    <t>Copy Paste</t>
  </si>
  <si>
    <t>Division</t>
  </si>
  <si>
    <t>Vendor</t>
  </si>
  <si>
    <t>Company</t>
  </si>
  <si>
    <t>Email 1</t>
  </si>
  <si>
    <t>Email 2</t>
  </si>
  <si>
    <t>Email 3</t>
  </si>
  <si>
    <t>Name</t>
  </si>
  <si>
    <t>Hello,</t>
  </si>
  <si>
    <t>Index</t>
  </si>
  <si>
    <t>To</t>
  </si>
  <si>
    <t>Please see the payment confirmation below</t>
  </si>
  <si>
    <t>Valediction</t>
  </si>
  <si>
    <t>Kind regards,</t>
  </si>
  <si>
    <t>Wires!$A$7:$A$42</t>
  </si>
  <si>
    <t>Wires!$B$7:$B$42</t>
  </si>
  <si>
    <t>Wires!$C$7:$C$42</t>
  </si>
  <si>
    <t>Wires!$D$7:$D$42</t>
  </si>
  <si>
    <t>Wires!$E$7:$E$42</t>
  </si>
  <si>
    <t>Wires!$F$7:$F$42</t>
  </si>
  <si>
    <t>Wires!$G$7:$G$42</t>
  </si>
  <si>
    <t>Wires!$H$7:$H$42</t>
  </si>
  <si>
    <t>Wires!$I$7:$I$42</t>
  </si>
  <si>
    <t>Wires!$J$7:$J$42</t>
  </si>
  <si>
    <t>Wires!$K$7:$K$42</t>
  </si>
  <si>
    <t>Wires!$L$7:$L$42</t>
  </si>
  <si>
    <t>Wires!$M$7:$M$42</t>
  </si>
  <si>
    <t>Wires!$N$7:$N$42</t>
  </si>
  <si>
    <t>Wires!$O$7:$O$42</t>
  </si>
  <si>
    <t>Wires!$P$7:$P$42</t>
  </si>
  <si>
    <t>Wires!$Q$7:$Q$42</t>
  </si>
  <si>
    <t>Wires!$R$7:$R$42</t>
  </si>
  <si>
    <t>Wires!$S$7:$S$42</t>
  </si>
  <si>
    <t>Wires!TA$7:$T$42</t>
  </si>
  <si>
    <t>Wires!$U$7:$U$42</t>
  </si>
  <si>
    <t>Wires!$V$7:$V$42</t>
  </si>
  <si>
    <t>Wires!$W$7:$W$42</t>
  </si>
  <si>
    <t>Wires!$X$7:$X$42</t>
  </si>
  <si>
    <t>Wires!$Y$7:$Y$42</t>
  </si>
  <si>
    <t>Wires!$Z$7:$Z$42</t>
  </si>
  <si>
    <t>Find the completed wire and select See Details</t>
  </si>
  <si>
    <t>Copy the Details to the Wires worksheet starting in row 9</t>
  </si>
  <si>
    <t>Sent 8/14/2026 10:57 AM</t>
  </si>
  <si>
    <t>Entity</t>
  </si>
  <si>
    <t>Company A (…1234)</t>
  </si>
  <si>
    <t>Company B (…5678)</t>
  </si>
  <si>
    <t>Company C (…9012)</t>
  </si>
  <si>
    <t>Ent1</t>
  </si>
  <si>
    <t>Ent2</t>
  </si>
  <si>
    <t>Ent3</t>
  </si>
  <si>
    <t>ENT1</t>
  </si>
  <si>
    <t>SAMPLE VENDOR A</t>
  </si>
  <si>
    <t>ap1@example.com</t>
  </si>
  <si>
    <t>finance1@example.com</t>
  </si>
  <si>
    <t>Taylor Morgan</t>
  </si>
  <si>
    <t>SAMPLE VENDOR B</t>
  </si>
  <si>
    <t>ap2@example.com</t>
  </si>
  <si>
    <t>Jordan Lee</t>
  </si>
  <si>
    <t>ENT2</t>
  </si>
  <si>
    <t>payments@example.com</t>
  </si>
  <si>
    <t>Casey Smith</t>
  </si>
  <si>
    <t>SAMPLE VENDOR C</t>
  </si>
  <si>
    <t>vendorc@example.com</t>
  </si>
  <si>
    <t>accounting@example.com</t>
  </si>
  <si>
    <t>Alex Rivera</t>
  </si>
  <si>
    <t>ENT3</t>
  </si>
  <si>
    <t>billing@example.com</t>
  </si>
  <si>
    <t>finance3@example.com</t>
  </si>
  <si>
    <t>Morgan Chen</t>
  </si>
  <si>
    <t>SAMPLE VENDOR D</t>
  </si>
  <si>
    <t>ap4@example.com</t>
  </si>
  <si>
    <t>Jamie Davis</t>
  </si>
  <si>
    <t>$10,000.00 USD (U.S. Dollars)</t>
  </si>
  <si>
    <t>A (...9999)</t>
  </si>
  <si>
    <t>ABC</t>
  </si>
  <si>
    <t>DEF</t>
  </si>
  <si>
    <t>GHI</t>
  </si>
  <si>
    <t>JKL</t>
  </si>
  <si>
    <t>MNO</t>
  </si>
  <si>
    <t>PQR</t>
  </si>
  <si>
    <t>B (…8888)</t>
  </si>
  <si>
    <t>C (…7777)</t>
  </si>
  <si>
    <t>$20,000.00 USD (U.S. Dollars)</t>
  </si>
  <si>
    <t>$30,000.00 USD (U.S. Dollars)</t>
  </si>
  <si>
    <t>$40,000.00 USD (U.S. Dollars)</t>
  </si>
  <si>
    <t>$50,000.00 USD (U.S. Dollars)</t>
  </si>
  <si>
    <t>$60,000.00 USD (U.S. Dollars)</t>
  </si>
  <si>
    <t>AP CLERK</t>
  </si>
  <si>
    <t>Aug 12, 2026, 9:59:42 PM</t>
  </si>
  <si>
    <t>Aug 12, 2026, 9:00:52 PM</t>
  </si>
  <si>
    <t>Aug 12, 2026, 9:01:57 PM</t>
  </si>
  <si>
    <t>Aug 12, 2026, 9:02:52 PM</t>
  </si>
  <si>
    <t>Aug 12, 2026, 9:06:46 PM</t>
  </si>
  <si>
    <t>Aug 12, 2026, 9:07:58 PM</t>
  </si>
  <si>
    <t>Login to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</si>
</sst>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u/>
      <sz val="10"/>
      <color theme="10"/>
      <name val="Arial"/>
      <family val="2"/>
    </font>
    <font>
      <b/>
      <sz val="11"/>
      <color rgb="FFFF0000"/>
      <name val="Aptos Narrow"/>
      <family val="2"/>
      <scheme val="minor"/>
    </font>
    <font>
      <sz val="10"/>
      <color rgb="FF262626"/>
      <name val="Arial"/>
      <family val="2"/>
    </font>
    <font>
      <b/>
      <sz val="10"/>
      <color theme="1"/>
      <name val="Arial"/>
      <family val="2"/>
    </font>
    <font>
      <b/>
      <sz val="10"/>
      <color rgb="FF262626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8" fontId="2" fillId="0" borderId="1" xfId="0" applyNumberFormat="1" applyFont="1" applyBorder="1" applyAlignment="1">
      <alignment vertical="center" wrapText="1"/>
    </xf>
    <xf numFmtId="15" fontId="2" fillId="0" borderId="1" xfId="0" applyNumberFormat="1" applyFont="1" applyBorder="1" applyAlignment="1">
      <alignment vertical="center" wrapText="1"/>
    </xf>
    <xf numFmtId="0" fontId="0" fillId="0" borderId="2" xfId="0" applyBorder="1"/>
    <xf numFmtId="0" fontId="1" fillId="0" borderId="0" xfId="0" applyFont="1"/>
    <xf numFmtId="0" fontId="3" fillId="0" borderId="1" xfId="0" applyFont="1" applyBorder="1" applyAlignment="1">
      <alignment vertical="center" wrapText="1"/>
    </xf>
    <xf numFmtId="0" fontId="1" fillId="0" borderId="3" xfId="0" applyFont="1" applyBorder="1"/>
    <xf numFmtId="49" fontId="1" fillId="0" borderId="3" xfId="0" applyNumberFormat="1" applyFont="1" applyBorder="1"/>
    <xf numFmtId="49" fontId="1" fillId="0" borderId="4" xfId="0" applyNumberFormat="1" applyFont="1" applyBorder="1"/>
    <xf numFmtId="0" fontId="8" fillId="0" borderId="0" xfId="0" applyFont="1"/>
    <xf numFmtId="0" fontId="9" fillId="0" borderId="3" xfId="0" applyFont="1" applyBorder="1"/>
    <xf numFmtId="0" fontId="10" fillId="0" borderId="3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1"/>
    <xf numFmtId="0" fontId="11" fillId="0" borderId="0" xfId="0" applyFont="1"/>
    <xf numFmtId="49" fontId="0" fillId="0" borderId="0" xfId="0" applyNumberFormat="1"/>
    <xf numFmtId="49" fontId="5" fillId="0" borderId="3" xfId="1" applyNumberFormat="1" applyFont="1" applyFill="1" applyBorder="1"/>
    <xf numFmtId="0" fontId="7" fillId="0" borderId="3" xfId="0" applyFont="1" applyBorder="1"/>
    <xf numFmtId="49" fontId="5" fillId="0" borderId="5" xfId="1" applyNumberFormat="1" applyFont="1" applyFill="1" applyBorder="1"/>
    <xf numFmtId="49" fontId="6" fillId="0" borderId="3" xfId="1" applyNumberFormat="1" applyFont="1" applyFill="1" applyBorder="1"/>
    <xf numFmtId="0" fontId="7" fillId="0" borderId="5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180975</xdr:rowOff>
        </xdr:from>
        <xdr:to>
          <xdr:col>1</xdr:col>
          <xdr:colOff>3000375</xdr:colOff>
          <xdr:row>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Emails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9BF99-E387-44EA-BC3A-A58EBE56E54B}">
  <sheetPr codeName="Sheet5"/>
  <dimension ref="A3:A5"/>
  <sheetViews>
    <sheetView workbookViewId="0">
      <selection activeCell="I18" sqref="I18"/>
    </sheetView>
  </sheetViews>
  <sheetFormatPr defaultRowHeight="15" x14ac:dyDescent="0.25"/>
  <sheetData>
    <row r="3" spans="1:1" x14ac:dyDescent="0.25">
      <c r="A3" t="s">
        <v>119</v>
      </c>
    </row>
    <row r="4" spans="1:1" x14ac:dyDescent="0.25">
      <c r="A4" t="s">
        <v>65</v>
      </c>
    </row>
    <row r="5" spans="1:1" x14ac:dyDescent="0.25">
      <c r="A5" t="s">
        <v>66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751A5-2513-4E50-9E31-F13669E7D7CD}">
  <sheetPr codeName="Sheet1"/>
  <dimension ref="A1:F42"/>
  <sheetViews>
    <sheetView tabSelected="1" zoomScale="80" zoomScaleNormal="80" workbookViewId="0">
      <selection activeCell="A41" sqref="A41"/>
    </sheetView>
  </sheetViews>
  <sheetFormatPr defaultRowHeight="15" x14ac:dyDescent="0.25"/>
  <cols>
    <col min="1" max="6" width="44.7109375" customWidth="1"/>
  </cols>
  <sheetData>
    <row r="1" spans="1:6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 x14ac:dyDescent="0.25">
      <c r="A2" t="str">
        <f>+_xlfn.XLOOKUP(A$12,Entity!$A$2:$A$4,Entity!$B$2:$B$4,0)</f>
        <v>Ent1</v>
      </c>
      <c r="B2" t="str">
        <f>+_xlfn.XLOOKUP(B$12,Entity!$A$2:$A$4,Entity!$B$2:$B$4,0)</f>
        <v>Ent1</v>
      </c>
      <c r="C2" t="str">
        <f>+_xlfn.XLOOKUP(C$12,Entity!$A$2:$A$4,Entity!$B$2:$B$4,0)</f>
        <v>Ent2</v>
      </c>
      <c r="D2" t="str">
        <f>+_xlfn.XLOOKUP(D$12,Entity!$A$2:$A$4,Entity!$B$2:$B$4,0)</f>
        <v>Ent2</v>
      </c>
      <c r="E2" t="str">
        <f>+_xlfn.XLOOKUP(E$12,Entity!$A$2:$A$4,Entity!$B$2:$B$4,0)</f>
        <v>Ent3</v>
      </c>
      <c r="F2" t="str">
        <f>+_xlfn.XLOOKUP(F$12,Entity!$A$2:$A$4,Entity!$B$2:$B$4,0)</f>
        <v>Ent3</v>
      </c>
    </row>
    <row r="3" spans="1:6" x14ac:dyDescent="0.25">
      <c r="A3" t="str">
        <f>+A7</f>
        <v>SAMPLE VENDOR A</v>
      </c>
      <c r="B3" t="str">
        <f t="shared" ref="B3:F3" si="0">+B7</f>
        <v>SAMPLE VENDOR B</v>
      </c>
      <c r="C3" t="str">
        <f t="shared" si="0"/>
        <v>SAMPLE VENDOR A</v>
      </c>
      <c r="D3" t="str">
        <f t="shared" si="0"/>
        <v>SAMPLE VENDOR C</v>
      </c>
      <c r="E3" t="str">
        <f t="shared" si="0"/>
        <v>SAMPLE VENDOR B</v>
      </c>
      <c r="F3" t="str">
        <f t="shared" si="0"/>
        <v>SAMPLE VENDOR D</v>
      </c>
    </row>
    <row r="7" spans="1:6" x14ac:dyDescent="0.25">
      <c r="A7" s="8" t="s">
        <v>76</v>
      </c>
      <c r="B7" s="8" t="s">
        <v>80</v>
      </c>
      <c r="C7" s="8" t="s">
        <v>76</v>
      </c>
      <c r="D7" s="8" t="s">
        <v>86</v>
      </c>
      <c r="E7" s="8" t="s">
        <v>80</v>
      </c>
      <c r="F7" s="8" t="s">
        <v>94</v>
      </c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7" t="s">
        <v>0</v>
      </c>
      <c r="B9" s="7" t="s">
        <v>0</v>
      </c>
      <c r="C9" s="7" t="s">
        <v>0</v>
      </c>
      <c r="D9" s="7" t="s">
        <v>0</v>
      </c>
      <c r="E9" s="7" t="s">
        <v>0</v>
      </c>
      <c r="F9" s="7" t="s">
        <v>0</v>
      </c>
    </row>
    <row r="10" spans="1:6" x14ac:dyDescent="0.25">
      <c r="A10" s="2" t="s">
        <v>98</v>
      </c>
      <c r="B10" s="2" t="s">
        <v>98</v>
      </c>
      <c r="C10" s="2" t="s">
        <v>105</v>
      </c>
      <c r="D10" s="2" t="s">
        <v>105</v>
      </c>
      <c r="E10" s="2" t="s">
        <v>106</v>
      </c>
      <c r="F10" s="2" t="s">
        <v>106</v>
      </c>
    </row>
    <row r="11" spans="1:6" x14ac:dyDescent="0.25">
      <c r="A11" s="7" t="s">
        <v>1</v>
      </c>
      <c r="B11" s="7" t="s">
        <v>1</v>
      </c>
      <c r="C11" s="7" t="s">
        <v>1</v>
      </c>
      <c r="D11" s="7" t="s">
        <v>1</v>
      </c>
      <c r="E11" s="7" t="s">
        <v>1</v>
      </c>
      <c r="F11" s="7" t="s">
        <v>1</v>
      </c>
    </row>
    <row r="12" spans="1:6" x14ac:dyDescent="0.25">
      <c r="A12" s="2" t="s">
        <v>69</v>
      </c>
      <c r="B12" s="2" t="s">
        <v>69</v>
      </c>
      <c r="C12" s="2" t="s">
        <v>70</v>
      </c>
      <c r="D12" s="2" t="s">
        <v>70</v>
      </c>
      <c r="E12" s="2" t="s">
        <v>71</v>
      </c>
      <c r="F12" s="2" t="s">
        <v>71</v>
      </c>
    </row>
    <row r="13" spans="1:6" x14ac:dyDescent="0.25">
      <c r="A13" s="7" t="s">
        <v>2</v>
      </c>
      <c r="B13" s="7" t="s">
        <v>2</v>
      </c>
      <c r="C13" s="7" t="s">
        <v>2</v>
      </c>
      <c r="D13" s="7" t="s">
        <v>2</v>
      </c>
      <c r="E13" s="7" t="s">
        <v>2</v>
      </c>
      <c r="F13" s="7" t="s">
        <v>2</v>
      </c>
    </row>
    <row r="14" spans="1:6" x14ac:dyDescent="0.25">
      <c r="A14" s="2" t="s">
        <v>97</v>
      </c>
      <c r="B14" s="2" t="s">
        <v>107</v>
      </c>
      <c r="C14" s="2" t="s">
        <v>108</v>
      </c>
      <c r="D14" s="2" t="s">
        <v>109</v>
      </c>
      <c r="E14" s="2" t="s">
        <v>110</v>
      </c>
      <c r="F14" s="2" t="s">
        <v>111</v>
      </c>
    </row>
    <row r="15" spans="1:6" x14ac:dyDescent="0.25">
      <c r="A15" s="7" t="s">
        <v>3</v>
      </c>
      <c r="B15" s="7" t="s">
        <v>3</v>
      </c>
      <c r="C15" s="7" t="s">
        <v>3</v>
      </c>
      <c r="D15" s="7" t="s">
        <v>3</v>
      </c>
      <c r="E15" s="7" t="s">
        <v>3</v>
      </c>
      <c r="F15" s="7" t="s">
        <v>3</v>
      </c>
    </row>
    <row r="16" spans="1:6" x14ac:dyDescent="0.25">
      <c r="A16" s="3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</row>
    <row r="17" spans="1:6" x14ac:dyDescent="0.25">
      <c r="A17" s="7" t="s">
        <v>4</v>
      </c>
      <c r="B17" s="7" t="s">
        <v>4</v>
      </c>
      <c r="C17" s="7" t="s">
        <v>4</v>
      </c>
      <c r="D17" s="7" t="s">
        <v>4</v>
      </c>
      <c r="E17" s="7" t="s">
        <v>4</v>
      </c>
      <c r="F17" s="7" t="s">
        <v>4</v>
      </c>
    </row>
    <row r="18" spans="1:6" x14ac:dyDescent="0.25">
      <c r="A18" s="3">
        <v>10000</v>
      </c>
      <c r="B18" s="3">
        <v>20000</v>
      </c>
      <c r="C18" s="3">
        <v>30000</v>
      </c>
      <c r="D18" s="3">
        <v>40000</v>
      </c>
      <c r="E18" s="3">
        <v>50000</v>
      </c>
      <c r="F18" s="3">
        <v>60000</v>
      </c>
    </row>
    <row r="19" spans="1:6" x14ac:dyDescent="0.25">
      <c r="A19" s="7" t="s">
        <v>5</v>
      </c>
      <c r="B19" s="7" t="s">
        <v>5</v>
      </c>
      <c r="C19" s="7" t="s">
        <v>5</v>
      </c>
      <c r="D19" s="7" t="s">
        <v>5</v>
      </c>
      <c r="E19" s="7" t="s">
        <v>5</v>
      </c>
      <c r="F19" s="7" t="s">
        <v>5</v>
      </c>
    </row>
    <row r="20" spans="1:6" x14ac:dyDescent="0.25">
      <c r="A20" s="4">
        <v>46247</v>
      </c>
      <c r="B20" s="4">
        <v>46247</v>
      </c>
      <c r="C20" s="4">
        <v>46247</v>
      </c>
      <c r="D20" s="4">
        <v>46247</v>
      </c>
      <c r="E20" s="4">
        <v>46247</v>
      </c>
      <c r="F20" s="4">
        <v>46247</v>
      </c>
    </row>
    <row r="21" spans="1:6" x14ac:dyDescent="0.25">
      <c r="A21" s="7" t="s">
        <v>6</v>
      </c>
      <c r="B21" s="7" t="s">
        <v>6</v>
      </c>
      <c r="C21" s="7" t="s">
        <v>6</v>
      </c>
      <c r="D21" s="7" t="s">
        <v>6</v>
      </c>
      <c r="E21" s="7" t="s">
        <v>6</v>
      </c>
      <c r="F21" s="7" t="s">
        <v>6</v>
      </c>
    </row>
    <row r="22" spans="1:6" x14ac:dyDescent="0.25">
      <c r="A22" s="2" t="s">
        <v>99</v>
      </c>
      <c r="B22" s="2" t="s">
        <v>100</v>
      </c>
      <c r="C22" s="2" t="s">
        <v>101</v>
      </c>
      <c r="D22" s="2" t="s">
        <v>102</v>
      </c>
      <c r="E22" s="2" t="s">
        <v>103</v>
      </c>
      <c r="F22" s="2" t="s">
        <v>104</v>
      </c>
    </row>
    <row r="23" spans="1:6" x14ac:dyDescent="0.25">
      <c r="A23" s="7" t="s">
        <v>7</v>
      </c>
      <c r="B23" s="7" t="s">
        <v>7</v>
      </c>
      <c r="C23" s="7" t="s">
        <v>7</v>
      </c>
      <c r="D23" s="7" t="s">
        <v>7</v>
      </c>
      <c r="E23" s="7" t="s">
        <v>7</v>
      </c>
      <c r="F23" s="7" t="s">
        <v>7</v>
      </c>
    </row>
    <row r="24" spans="1:6" x14ac:dyDescent="0.25">
      <c r="A24" s="2" t="s">
        <v>8</v>
      </c>
      <c r="B24" s="2" t="s">
        <v>8</v>
      </c>
      <c r="C24" s="2" t="s">
        <v>8</v>
      </c>
      <c r="D24" s="2" t="s">
        <v>8</v>
      </c>
      <c r="E24" s="2" t="s">
        <v>8</v>
      </c>
      <c r="F24" s="2" t="s">
        <v>8</v>
      </c>
    </row>
    <row r="25" spans="1:6" x14ac:dyDescent="0.25">
      <c r="A25" s="7" t="s">
        <v>9</v>
      </c>
      <c r="B25" s="7" t="s">
        <v>9</v>
      </c>
      <c r="C25" s="7" t="s">
        <v>9</v>
      </c>
      <c r="D25" s="7" t="s">
        <v>9</v>
      </c>
      <c r="E25" s="7" t="s">
        <v>9</v>
      </c>
      <c r="F25" s="7" t="s">
        <v>9</v>
      </c>
    </row>
    <row r="26" spans="1:6" x14ac:dyDescent="0.25">
      <c r="A26" s="2" t="s">
        <v>8</v>
      </c>
      <c r="B26" s="2" t="s">
        <v>8</v>
      </c>
      <c r="C26" s="2" t="s">
        <v>8</v>
      </c>
      <c r="D26" s="2" t="s">
        <v>8</v>
      </c>
      <c r="E26" s="2" t="s">
        <v>8</v>
      </c>
      <c r="F26" s="2" t="s">
        <v>8</v>
      </c>
    </row>
    <row r="27" spans="1:6" x14ac:dyDescent="0.25">
      <c r="A27" s="7" t="s">
        <v>10</v>
      </c>
      <c r="B27" s="7" t="s">
        <v>10</v>
      </c>
      <c r="C27" s="7" t="s">
        <v>10</v>
      </c>
      <c r="D27" s="7" t="s">
        <v>10</v>
      </c>
      <c r="E27" s="7" t="s">
        <v>10</v>
      </c>
      <c r="F27" s="7" t="s">
        <v>10</v>
      </c>
    </row>
    <row r="28" spans="1:6" x14ac:dyDescent="0.25">
      <c r="A28" s="4">
        <v>46247</v>
      </c>
      <c r="B28" s="4">
        <v>46247</v>
      </c>
      <c r="C28" s="4">
        <v>46247</v>
      </c>
      <c r="D28" s="4">
        <v>46247</v>
      </c>
      <c r="E28" s="4">
        <v>46247</v>
      </c>
      <c r="F28" s="4">
        <v>46247</v>
      </c>
    </row>
    <row r="29" spans="1:6" x14ac:dyDescent="0.25">
      <c r="A29" s="7" t="s">
        <v>11</v>
      </c>
      <c r="B29" s="7" t="s">
        <v>11</v>
      </c>
      <c r="C29" s="7" t="s">
        <v>11</v>
      </c>
      <c r="D29" s="7" t="s">
        <v>11</v>
      </c>
      <c r="E29" s="7" t="s">
        <v>11</v>
      </c>
      <c r="F29" s="7" t="s">
        <v>11</v>
      </c>
    </row>
    <row r="30" spans="1:6" x14ac:dyDescent="0.25">
      <c r="A30" s="2" t="s">
        <v>12</v>
      </c>
      <c r="B30" s="2" t="s">
        <v>12</v>
      </c>
      <c r="C30" s="2" t="s">
        <v>12</v>
      </c>
      <c r="D30" s="2" t="s">
        <v>12</v>
      </c>
      <c r="E30" s="2" t="s">
        <v>12</v>
      </c>
      <c r="F30" s="2" t="s">
        <v>12</v>
      </c>
    </row>
    <row r="31" spans="1:6" x14ac:dyDescent="0.25">
      <c r="A31" s="7" t="s">
        <v>13</v>
      </c>
      <c r="B31" s="7" t="s">
        <v>13</v>
      </c>
      <c r="C31" s="7" t="s">
        <v>13</v>
      </c>
      <c r="D31" s="7" t="s">
        <v>13</v>
      </c>
      <c r="E31" s="7" t="s">
        <v>13</v>
      </c>
      <c r="F31" s="7" t="s">
        <v>13</v>
      </c>
    </row>
    <row r="32" spans="1:6" x14ac:dyDescent="0.25">
      <c r="A32" s="2" t="s">
        <v>112</v>
      </c>
      <c r="B32" s="2" t="s">
        <v>112</v>
      </c>
      <c r="C32" s="2" t="s">
        <v>112</v>
      </c>
      <c r="D32" s="2" t="s">
        <v>112</v>
      </c>
      <c r="E32" s="2" t="s">
        <v>112</v>
      </c>
      <c r="F32" s="2" t="s">
        <v>112</v>
      </c>
    </row>
    <row r="33" spans="1:6" x14ac:dyDescent="0.25">
      <c r="A33" s="7" t="s">
        <v>14</v>
      </c>
      <c r="B33" s="7" t="s">
        <v>14</v>
      </c>
      <c r="C33" s="7" t="s">
        <v>14</v>
      </c>
      <c r="D33" s="7" t="s">
        <v>14</v>
      </c>
      <c r="E33" s="7" t="s">
        <v>14</v>
      </c>
      <c r="F33" s="7" t="s">
        <v>14</v>
      </c>
    </row>
    <row r="34" spans="1:6" x14ac:dyDescent="0.25">
      <c r="A34" s="2" t="s">
        <v>113</v>
      </c>
      <c r="B34" s="2" t="s">
        <v>114</v>
      </c>
      <c r="C34" s="2" t="s">
        <v>115</v>
      </c>
      <c r="D34" s="2" t="s">
        <v>116</v>
      </c>
      <c r="E34" s="2" t="s">
        <v>117</v>
      </c>
      <c r="F34" s="2" t="s">
        <v>118</v>
      </c>
    </row>
    <row r="35" spans="1:6" x14ac:dyDescent="0.25">
      <c r="A35" s="7" t="s">
        <v>15</v>
      </c>
      <c r="B35" s="7" t="s">
        <v>15</v>
      </c>
      <c r="C35" s="7" t="s">
        <v>15</v>
      </c>
      <c r="D35" s="7" t="s">
        <v>15</v>
      </c>
      <c r="E35" s="7" t="s">
        <v>15</v>
      </c>
      <c r="F35" s="7" t="s">
        <v>15</v>
      </c>
    </row>
    <row r="36" spans="1:6" x14ac:dyDescent="0.25">
      <c r="A36" s="2" t="s">
        <v>16</v>
      </c>
      <c r="B36" s="2" t="s">
        <v>16</v>
      </c>
      <c r="C36" s="2" t="s">
        <v>16</v>
      </c>
      <c r="D36" s="2" t="s">
        <v>16</v>
      </c>
      <c r="E36" s="2" t="s">
        <v>16</v>
      </c>
      <c r="F36" s="2" t="s">
        <v>16</v>
      </c>
    </row>
    <row r="37" spans="1:6" x14ac:dyDescent="0.25">
      <c r="A37" s="7" t="s">
        <v>17</v>
      </c>
      <c r="B37" s="7" t="s">
        <v>17</v>
      </c>
      <c r="C37" s="7" t="s">
        <v>17</v>
      </c>
      <c r="D37" s="7" t="s">
        <v>17</v>
      </c>
      <c r="E37" s="7" t="s">
        <v>17</v>
      </c>
      <c r="F37" s="7" t="s">
        <v>17</v>
      </c>
    </row>
    <row r="38" spans="1:6" x14ac:dyDescent="0.25">
      <c r="A38" s="2" t="s">
        <v>18</v>
      </c>
      <c r="B38" s="2" t="s">
        <v>18</v>
      </c>
      <c r="C38" s="2" t="s">
        <v>18</v>
      </c>
      <c r="D38" s="2" t="s">
        <v>18</v>
      </c>
      <c r="E38" s="2" t="s">
        <v>18</v>
      </c>
      <c r="F38" s="2" t="s">
        <v>18</v>
      </c>
    </row>
    <row r="39" spans="1:6" x14ac:dyDescent="0.25">
      <c r="A39" s="7" t="s">
        <v>19</v>
      </c>
      <c r="B39" s="7" t="s">
        <v>19</v>
      </c>
      <c r="C39" s="7" t="s">
        <v>19</v>
      </c>
      <c r="D39" s="7" t="s">
        <v>19</v>
      </c>
      <c r="E39" s="7" t="s">
        <v>19</v>
      </c>
      <c r="F39" s="7" t="s">
        <v>19</v>
      </c>
    </row>
    <row r="40" spans="1:6" x14ac:dyDescent="0.25">
      <c r="A40" s="7" t="s">
        <v>20</v>
      </c>
      <c r="B40" s="7" t="s">
        <v>20</v>
      </c>
      <c r="C40" s="7" t="s">
        <v>20</v>
      </c>
      <c r="D40" s="7" t="s">
        <v>20</v>
      </c>
      <c r="E40" s="7" t="s">
        <v>20</v>
      </c>
      <c r="F40" s="7" t="s">
        <v>20</v>
      </c>
    </row>
    <row r="41" spans="1:6" x14ac:dyDescent="0.25">
      <c r="A41" s="2">
        <v>12346578900</v>
      </c>
      <c r="B41" s="2">
        <v>23456789000</v>
      </c>
      <c r="C41" s="2">
        <v>34567891200</v>
      </c>
      <c r="D41" s="2">
        <v>45678912300</v>
      </c>
      <c r="E41" s="2">
        <v>56789123400</v>
      </c>
      <c r="F41" s="2">
        <v>67891234500</v>
      </c>
    </row>
    <row r="42" spans="1:6" x14ac:dyDescent="0.25">
      <c r="A42" s="5"/>
      <c r="B42" s="5"/>
      <c r="C42" s="5"/>
      <c r="D42" s="5"/>
      <c r="E42" s="5"/>
      <c r="F4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52FC-8E44-4F96-A3A0-8CC0E8D9D75F}">
  <sheetPr codeName="Sheet2"/>
  <dimension ref="A5:K32"/>
  <sheetViews>
    <sheetView workbookViewId="0">
      <selection activeCell="A30" sqref="A30"/>
    </sheetView>
  </sheetViews>
  <sheetFormatPr defaultRowHeight="15" x14ac:dyDescent="0.25"/>
  <cols>
    <col min="2" max="2" width="45.140625" bestFit="1" customWidth="1"/>
    <col min="3" max="3" width="40.85546875" customWidth="1"/>
    <col min="4" max="4" width="36.140625" bestFit="1" customWidth="1"/>
    <col min="5" max="5" width="26.85546875" customWidth="1"/>
    <col min="6" max="6" width="60.85546875" bestFit="1" customWidth="1"/>
    <col min="7" max="7" width="19" bestFit="1" customWidth="1"/>
    <col min="8" max="8" width="40" bestFit="1" customWidth="1"/>
    <col min="9" max="9" width="14" customWidth="1"/>
    <col min="10" max="10" width="19" bestFit="1" customWidth="1"/>
  </cols>
  <sheetData>
    <row r="5" spans="1:11" x14ac:dyDescent="0.25">
      <c r="C5" t="s">
        <v>35</v>
      </c>
      <c r="D5" t="s">
        <v>35</v>
      </c>
      <c r="E5" t="s">
        <v>21</v>
      </c>
    </row>
    <row r="6" spans="1:11" s="6" customFormat="1" x14ac:dyDescent="0.25">
      <c r="A6" s="6" t="s">
        <v>26</v>
      </c>
      <c r="B6" s="6" t="s">
        <v>27</v>
      </c>
      <c r="C6" s="6" t="s">
        <v>29</v>
      </c>
      <c r="D6" s="6" t="s">
        <v>30</v>
      </c>
      <c r="E6" s="6" t="s">
        <v>31</v>
      </c>
      <c r="F6" s="6" t="s">
        <v>22</v>
      </c>
      <c r="G6" s="6" t="s">
        <v>24</v>
      </c>
      <c r="H6" s="6" t="s">
        <v>23</v>
      </c>
      <c r="I6" s="6" t="s">
        <v>37</v>
      </c>
      <c r="J6" s="6" t="s">
        <v>25</v>
      </c>
      <c r="K6" s="6" t="s">
        <v>11</v>
      </c>
    </row>
    <row r="7" spans="1:11" x14ac:dyDescent="0.25">
      <c r="A7" t="str">
        <f>+Wires!A2</f>
        <v>Ent1</v>
      </c>
      <c r="B7" t="str">
        <f>+Wires!A3</f>
        <v>SAMPLE VENDOR A</v>
      </c>
      <c r="C7" s="15" t="str" cm="1">
        <f t="array" ref="C7">_xlfn.XLOOKUP(1,(Vendors!$A$2:$A$7=$A7)*(Vendors!$B$2:$B$7=$B7),Vendors!$C$2:$C$7,"")</f>
        <v>ap1@example.com</v>
      </c>
      <c r="D7" s="15" t="str" cm="1">
        <f t="array" ref="D7">_xlfn.XLOOKUP(1,(Vendors!$A$2:$A$7=$A7)*(Vendors!$B$2:$B$7=$B7),Vendors!$D$2:$D$7,"")</f>
        <v>finance1@example.com</v>
      </c>
      <c r="E7" s="15" cm="1">
        <f t="array" ref="E7">_xlfn.XLOOKUP(1,(Vendors!$A$2:$A$7=$A7)*(Vendors!$B$2:$B$7=$B7),Vendors!$E$2:$E$7,"")</f>
        <v>0</v>
      </c>
      <c r="F7" t="str">
        <f>"Icer Payment Confirmation - "&amp;B7</f>
        <v>Icer Payment Confirmation - SAMPLE VENDOR A</v>
      </c>
      <c r="G7" t="str" cm="1">
        <f t="array" ref="G7">+_xlfn.XLOOKUP(1,(Vendors!$A$2:$A$7='Wire Template'!$A7)*(Vendors!$B$2:$B$7='Wire Template'!$B7),Vendors!$F$2:$F$7,"")</f>
        <v>Hello,</v>
      </c>
      <c r="H7" t="s">
        <v>36</v>
      </c>
      <c r="I7" t="s">
        <v>38</v>
      </c>
      <c r="J7" t="s">
        <v>39</v>
      </c>
      <c r="K7" t="s">
        <v>67</v>
      </c>
    </row>
    <row r="8" spans="1:11" x14ac:dyDescent="0.25">
      <c r="A8" t="str">
        <f>+Wires!B2</f>
        <v>Ent1</v>
      </c>
      <c r="B8" t="str">
        <f>+Wires!B3</f>
        <v>SAMPLE VENDOR B</v>
      </c>
      <c r="C8" s="15" t="str" cm="1">
        <f t="array" ref="C8">_xlfn.XLOOKUP(1,(Vendors!$A$2:$A$7=$A8)*(Vendors!$B$2:$B$7=$B8),Vendors!$C$2:$C$7,"")</f>
        <v>ap2@example.com</v>
      </c>
      <c r="D8" s="15" cm="1">
        <f t="array" ref="D8">_xlfn.XLOOKUP(1,(Vendors!$A$2:$A$7=$A8)*(Vendors!$B$2:$B$7=$B8),Vendors!$D$2:$D$7,"")</f>
        <v>0</v>
      </c>
      <c r="E8" s="15" cm="1">
        <f t="array" ref="E8">_xlfn.XLOOKUP(1,(Vendors!$A$2:$A$7=$A8)*(Vendors!$B$2:$B$7=$B8),Vendors!$E$2:$E$7,"")</f>
        <v>0</v>
      </c>
      <c r="F8" t="str">
        <f t="shared" ref="F8:F12" si="0">"Icer Payment Confirmation - "&amp;B8</f>
        <v>Icer Payment Confirmation - SAMPLE VENDOR B</v>
      </c>
      <c r="G8" t="str" cm="1">
        <f t="array" ref="G8">+_xlfn.XLOOKUP(1,(Vendors!$A$2:$A$7='Wire Template'!$A8)*(Vendors!$B$2:$B$7='Wire Template'!$B8),Vendors!$F$2:$F$7,"")</f>
        <v>Hello,</v>
      </c>
      <c r="H8" t="s">
        <v>36</v>
      </c>
      <c r="I8" t="s">
        <v>38</v>
      </c>
      <c r="J8" t="s">
        <v>40</v>
      </c>
      <c r="K8" t="s">
        <v>67</v>
      </c>
    </row>
    <row r="9" spans="1:11" x14ac:dyDescent="0.25">
      <c r="A9" t="str">
        <f>+Wires!C2</f>
        <v>Ent2</v>
      </c>
      <c r="B9" t="str">
        <f>+Wires!C3</f>
        <v>SAMPLE VENDOR A</v>
      </c>
      <c r="C9" s="15" t="str" cm="1">
        <f t="array" ref="C9">_xlfn.XLOOKUP(1,(Vendors!$A$2:$A$7=$A9)*(Vendors!$B$2:$B$7=$B9),Vendors!$C$2:$C$7,"")</f>
        <v>payments@example.com</v>
      </c>
      <c r="D9" s="15" cm="1">
        <f t="array" ref="D9">_xlfn.XLOOKUP(1,(Vendors!$A$2:$A$7=$A9)*(Vendors!$B$2:$B$7=$B9),Vendors!$D$2:$D$7,"")</f>
        <v>0</v>
      </c>
      <c r="E9" s="15" cm="1">
        <f t="array" ref="E9">_xlfn.XLOOKUP(1,(Vendors!$A$2:$A$7=$A9)*(Vendors!$B$2:$B$7=$B9),Vendors!$E$2:$E$7,"")</f>
        <v>0</v>
      </c>
      <c r="F9" t="str">
        <f t="shared" si="0"/>
        <v>Icer Payment Confirmation - SAMPLE VENDOR A</v>
      </c>
      <c r="G9" t="str" cm="1">
        <f t="array" ref="G9">+_xlfn.XLOOKUP(1,(Vendors!$A$2:$A$7='Wire Template'!$A9)*(Vendors!$B$2:$B$7='Wire Template'!$B9),Vendors!$F$2:$F$7,"")</f>
        <v>Hello,</v>
      </c>
      <c r="H9" t="s">
        <v>36</v>
      </c>
      <c r="I9" t="s">
        <v>38</v>
      </c>
      <c r="J9" t="s">
        <v>41</v>
      </c>
      <c r="K9" t="s">
        <v>67</v>
      </c>
    </row>
    <row r="10" spans="1:11" x14ac:dyDescent="0.25">
      <c r="A10" t="str">
        <f>+Wires!D2</f>
        <v>Ent2</v>
      </c>
      <c r="B10" t="str">
        <f>+Wires!D3</f>
        <v>SAMPLE VENDOR C</v>
      </c>
      <c r="C10" s="15" t="str" cm="1">
        <f t="array" ref="C10">_xlfn.XLOOKUP(1,(Vendors!$A$2:$A$7=$A10)*(Vendors!$B$2:$B$7=$B10),Vendors!$C$2:$C$7,"")</f>
        <v>vendorc@example.com</v>
      </c>
      <c r="D10" s="15" t="str" cm="1">
        <f t="array" ref="D10">_xlfn.XLOOKUP(1,(Vendors!$A$2:$A$7=$A10)*(Vendors!$B$2:$B$7=$B10),Vendors!$D$2:$D$7,"")</f>
        <v>accounting@example.com</v>
      </c>
      <c r="E10" s="15" cm="1">
        <f t="array" ref="E10">_xlfn.XLOOKUP(1,(Vendors!$A$2:$A$7=$A10)*(Vendors!$B$2:$B$7=$B10),Vendors!$E$2:$E$7,"")</f>
        <v>0</v>
      </c>
      <c r="F10" t="str">
        <f t="shared" si="0"/>
        <v>Icer Payment Confirmation - SAMPLE VENDOR C</v>
      </c>
      <c r="G10" t="str" cm="1">
        <f t="array" ref="G10">+_xlfn.XLOOKUP(1,(Vendors!$A$2:$A$7='Wire Template'!$A10)*(Vendors!$B$2:$B$7='Wire Template'!$B10),Vendors!$F$2:$F$7,"")</f>
        <v>Hello,</v>
      </c>
      <c r="H10" t="s">
        <v>36</v>
      </c>
      <c r="I10" t="s">
        <v>38</v>
      </c>
      <c r="J10" t="s">
        <v>42</v>
      </c>
      <c r="K10" t="s">
        <v>67</v>
      </c>
    </row>
    <row r="11" spans="1:11" x14ac:dyDescent="0.25">
      <c r="A11" t="str">
        <f>+Wires!E2</f>
        <v>Ent3</v>
      </c>
      <c r="B11" t="str">
        <f>+Wires!E3</f>
        <v>SAMPLE VENDOR B</v>
      </c>
      <c r="C11" s="15" t="str" cm="1">
        <f t="array" ref="C11">_xlfn.XLOOKUP(1,(Vendors!$A$2:$A$7=$A11)*(Vendors!$B$2:$B$7=$B11),Vendors!$C$2:$C$7,"")</f>
        <v>billing@example.com</v>
      </c>
      <c r="D11" s="15" cm="1">
        <f t="array" ref="D11">_xlfn.XLOOKUP(1,(Vendors!$A$2:$A$7=$A11)*(Vendors!$B$2:$B$7=$B11),Vendors!$D$2:$D$7,"")</f>
        <v>0</v>
      </c>
      <c r="E11" s="15" t="str" cm="1">
        <f t="array" ref="E11">_xlfn.XLOOKUP(1,(Vendors!$A$2:$A$7=$A11)*(Vendors!$B$2:$B$7=$B11),Vendors!$E$2:$E$7,"")</f>
        <v>finance3@example.com</v>
      </c>
      <c r="F11" t="str">
        <f t="shared" si="0"/>
        <v>Icer Payment Confirmation - SAMPLE VENDOR B</v>
      </c>
      <c r="G11" t="str" cm="1">
        <f t="array" ref="G11">+_xlfn.XLOOKUP(1,(Vendors!$A$2:$A$7='Wire Template'!$A11)*(Vendors!$B$2:$B$7='Wire Template'!$B11),Vendors!$F$2:$F$7,"")</f>
        <v>Hello,</v>
      </c>
      <c r="H11" t="s">
        <v>36</v>
      </c>
      <c r="I11" t="s">
        <v>38</v>
      </c>
      <c r="J11" t="s">
        <v>43</v>
      </c>
      <c r="K11" t="s">
        <v>67</v>
      </c>
    </row>
    <row r="12" spans="1:11" x14ac:dyDescent="0.25">
      <c r="A12" t="str">
        <f>+Wires!F2</f>
        <v>Ent3</v>
      </c>
      <c r="B12" t="str">
        <f>+Wires!F3</f>
        <v>SAMPLE VENDOR D</v>
      </c>
      <c r="C12" s="15" t="str" cm="1">
        <f t="array" ref="C12">_xlfn.XLOOKUP(1,(Vendors!$A$2:$A$7=$A12)*(Vendors!$B$2:$B$7=$B12),Vendors!$C$2:$C$7,"")</f>
        <v>ap4@example.com</v>
      </c>
      <c r="D12" s="15" cm="1">
        <f t="array" ref="D12">_xlfn.XLOOKUP(1,(Vendors!$A$2:$A$7=$A12)*(Vendors!$B$2:$B$7=$B12),Vendors!$D$2:$D$7,"")</f>
        <v>0</v>
      </c>
      <c r="E12" s="15" cm="1">
        <f t="array" ref="E12">_xlfn.XLOOKUP(1,(Vendors!$A$2:$A$7=$A12)*(Vendors!$B$2:$B$7=$B12),Vendors!$E$2:$E$7,"")</f>
        <v>0</v>
      </c>
      <c r="F12" t="str">
        <f t="shared" si="0"/>
        <v>Icer Payment Confirmation - SAMPLE VENDOR D</v>
      </c>
      <c r="G12" t="str" cm="1">
        <f t="array" ref="G12">+_xlfn.XLOOKUP(1,(Vendors!$A$2:$A$7='Wire Template'!$A12)*(Vendors!$B$2:$B$7='Wire Template'!$B12),Vendors!$F$2:$F$7,"")</f>
        <v>Hello,</v>
      </c>
      <c r="H12" t="s">
        <v>36</v>
      </c>
      <c r="I12" t="s">
        <v>38</v>
      </c>
      <c r="J12" t="s">
        <v>44</v>
      </c>
      <c r="K12" t="s">
        <v>67</v>
      </c>
    </row>
    <row r="13" spans="1:11" x14ac:dyDescent="0.25">
      <c r="A13">
        <f>+Wires!G2</f>
        <v>0</v>
      </c>
      <c r="B13">
        <f>+Wires!G3</f>
        <v>0</v>
      </c>
      <c r="C13" s="15" t="str" cm="1">
        <f t="array" ref="C13">_xlfn.XLOOKUP(1,(Vendors!$A$2:$A$7=$A13)*(Vendors!$B$2:$B$7=$B13),Vendors!$C$2:$C$7,"")</f>
        <v/>
      </c>
      <c r="D13" s="15" t="str" cm="1">
        <f t="array" ref="D13">_xlfn.XLOOKUP(1,(Vendors!$A$2:$A$7=$A13)*(Vendors!$B$2:$B$7=$B13),Vendors!$D$2:$D$7,"")</f>
        <v/>
      </c>
      <c r="E13" s="15" t="str" cm="1">
        <f t="array" ref="E13">_xlfn.XLOOKUP(1,(Vendors!$A$2:$A$7=$A13)*(Vendors!$B$2:$B$7=$B13),Vendors!$E$2:$E$7,"")</f>
        <v/>
      </c>
      <c r="F13" t="str">
        <f>"Icer Payment Confirmation - "&amp;B13</f>
        <v>Icer Payment Confirmation - 0</v>
      </c>
      <c r="G13" t="str" cm="1">
        <f t="array" ref="G13">+_xlfn.XLOOKUP(1,(Vendors!$A$2:$A$7='Wire Template'!$A13)*(Vendors!$B$2:$B$7='Wire Template'!$B13),Vendors!$F$2:$F$7,"")</f>
        <v/>
      </c>
      <c r="H13" t="s">
        <v>36</v>
      </c>
      <c r="I13" t="s">
        <v>38</v>
      </c>
      <c r="J13" t="s">
        <v>45</v>
      </c>
      <c r="K13" t="s">
        <v>67</v>
      </c>
    </row>
    <row r="14" spans="1:11" x14ac:dyDescent="0.25">
      <c r="A14">
        <f>+Wires!H2</f>
        <v>0</v>
      </c>
      <c r="B14">
        <f>+Wires!H3</f>
        <v>0</v>
      </c>
      <c r="C14" s="15" t="str" cm="1">
        <f t="array" ref="C14">_xlfn.XLOOKUP(1,(Vendors!$A$2:$A$7=$A14)*(Vendors!$B$2:$B$7=$B14),Vendors!$C$2:$C$7,"")</f>
        <v/>
      </c>
      <c r="D14" s="15" t="str" cm="1">
        <f t="array" ref="D14">_xlfn.XLOOKUP(1,(Vendors!$A$2:$A$7=$A14)*(Vendors!$B$2:$B$7=$B14),Vendors!$D$2:$D$7,"")</f>
        <v/>
      </c>
      <c r="E14" s="15" t="str" cm="1">
        <f t="array" ref="E14">_xlfn.XLOOKUP(1,(Vendors!$A$2:$A$7=$A14)*(Vendors!$B$2:$B$7=$B14),Vendors!$E$2:$E$7,"")</f>
        <v/>
      </c>
      <c r="F14" t="str">
        <f>"Icer Payment Confirmation - "&amp;B14</f>
        <v>Icer Payment Confirmation - 0</v>
      </c>
      <c r="G14" t="str" cm="1">
        <f t="array" ref="G14">+_xlfn.XLOOKUP(1,(Vendors!$A$2:$A$7='Wire Template'!$A14)*(Vendors!$B$2:$B$7='Wire Template'!$B14),Vendors!$F$2:$F$7,"")</f>
        <v/>
      </c>
      <c r="H14" t="s">
        <v>36</v>
      </c>
      <c r="I14" t="s">
        <v>38</v>
      </c>
      <c r="J14" t="s">
        <v>46</v>
      </c>
      <c r="K14" t="s">
        <v>67</v>
      </c>
    </row>
    <row r="15" spans="1:11" x14ac:dyDescent="0.25">
      <c r="A15">
        <f>+Wires!I2</f>
        <v>0</v>
      </c>
      <c r="B15">
        <f>+Wires!I3</f>
        <v>0</v>
      </c>
      <c r="C15" s="15" t="str" cm="1">
        <f t="array" ref="C15">_xlfn.XLOOKUP(1,(Vendors!$A$2:$A$7=$A15)*(Vendors!$B$2:$B$7=$B15),Vendors!$C$2:$C$7,"")</f>
        <v/>
      </c>
      <c r="D15" s="15" t="str" cm="1">
        <f t="array" ref="D15">_xlfn.XLOOKUP(1,(Vendors!$A$2:$A$7=$A15)*(Vendors!$B$2:$B$7=$B15),Vendors!$D$2:$D$7,"")</f>
        <v/>
      </c>
      <c r="E15" s="15" t="str" cm="1">
        <f t="array" ref="E15">_xlfn.XLOOKUP(1,(Vendors!$A$2:$A$7=$A15)*(Vendors!$B$2:$B$7=$B15),Vendors!$E$2:$E$7,"")</f>
        <v/>
      </c>
      <c r="F15" t="str">
        <f>"Icer Payment Confirmation - "&amp;B15</f>
        <v>Icer Payment Confirmation - 0</v>
      </c>
      <c r="G15" t="str" cm="1">
        <f t="array" ref="G15">+_xlfn.XLOOKUP(1,(Vendors!$A$2:$A$7='Wire Template'!$A15)*(Vendors!$B$2:$B$7='Wire Template'!$B15),Vendors!$F$2:$F$7,"")</f>
        <v/>
      </c>
      <c r="H15" t="s">
        <v>36</v>
      </c>
      <c r="I15" t="s">
        <v>38</v>
      </c>
      <c r="J15" t="s">
        <v>47</v>
      </c>
      <c r="K15" t="s">
        <v>67</v>
      </c>
    </row>
    <row r="16" spans="1:11" x14ac:dyDescent="0.25">
      <c r="A16">
        <f>+Wires!J2</f>
        <v>0</v>
      </c>
      <c r="B16">
        <f>+Wires!J3</f>
        <v>0</v>
      </c>
      <c r="C16" s="15" t="str" cm="1">
        <f t="array" ref="C16">_xlfn.XLOOKUP(1,(Vendors!$A$2:$A$7=$A16)*(Vendors!$B$2:$B$7=$B16),Vendors!$C$2:$C$7,"")</f>
        <v/>
      </c>
      <c r="D16" s="15" t="str" cm="1">
        <f t="array" ref="D16">_xlfn.XLOOKUP(1,(Vendors!$A$2:$A$7=$A16)*(Vendors!$B$2:$B$7=$B16),Vendors!$D$2:$D$7,"")</f>
        <v/>
      </c>
      <c r="E16" s="15" t="str" cm="1">
        <f t="array" ref="E16">_xlfn.XLOOKUP(1,(Vendors!$A$2:$A$7=$A16)*(Vendors!$B$2:$B$7=$B16),Vendors!$E$2:$E$7,"")</f>
        <v/>
      </c>
      <c r="F16" t="str">
        <f>"Icer Payment Confirmation - "&amp;B16</f>
        <v>Icer Payment Confirmation - 0</v>
      </c>
      <c r="G16" t="str" cm="1">
        <f t="array" ref="G16">+_xlfn.XLOOKUP(1,(Vendors!$A$2:$A$7='Wire Template'!$A16)*(Vendors!$B$2:$B$7='Wire Template'!$B16),Vendors!$F$2:$F$7,"")</f>
        <v/>
      </c>
      <c r="H16" t="s">
        <v>36</v>
      </c>
      <c r="I16" t="s">
        <v>38</v>
      </c>
      <c r="J16" t="s">
        <v>48</v>
      </c>
      <c r="K16" t="s">
        <v>67</v>
      </c>
    </row>
    <row r="17" spans="1:11" x14ac:dyDescent="0.25">
      <c r="A17">
        <f>+Wires!K2</f>
        <v>0</v>
      </c>
      <c r="B17">
        <f>+Wires!K3</f>
        <v>0</v>
      </c>
      <c r="C17" s="15" t="str" cm="1">
        <f t="array" ref="C17">_xlfn.XLOOKUP(1,(Vendors!$A$2:$A$7=$A17)*(Vendors!$B$2:$B$7=$B17),Vendors!$C$2:$C$7,"")</f>
        <v/>
      </c>
      <c r="D17" s="15" t="str" cm="1">
        <f t="array" ref="D17">_xlfn.XLOOKUP(1,(Vendors!$A$2:$A$7=$A17)*(Vendors!$B$2:$B$7=$B17),Vendors!$D$2:$D$7,"")</f>
        <v/>
      </c>
      <c r="E17" s="15" t="str" cm="1">
        <f t="array" ref="E17">_xlfn.XLOOKUP(1,(Vendors!$A$2:$A$7=$A17)*(Vendors!$B$2:$B$7=$B17),Vendors!$E$2:$E$7,"")</f>
        <v/>
      </c>
      <c r="F17" t="str">
        <f>"Icer Payment Confirmation - "&amp;B17</f>
        <v>Icer Payment Confirmation - 0</v>
      </c>
      <c r="G17" t="str" cm="1">
        <f t="array" ref="G17">+_xlfn.XLOOKUP(1,(Vendors!$A$2:$A$7='Wire Template'!$A17)*(Vendors!$B$2:$B$7='Wire Template'!$B17),Vendors!$F$2:$F$7,"")</f>
        <v/>
      </c>
      <c r="H17" t="s">
        <v>36</v>
      </c>
      <c r="I17" t="s">
        <v>38</v>
      </c>
      <c r="J17" t="s">
        <v>49</v>
      </c>
      <c r="K17" t="s">
        <v>67</v>
      </c>
    </row>
    <row r="18" spans="1:11" x14ac:dyDescent="0.25">
      <c r="A18">
        <f>+Wires!L2</f>
        <v>0</v>
      </c>
      <c r="B18">
        <f>+Wires!L3</f>
        <v>0</v>
      </c>
      <c r="C18" s="15" t="str" cm="1">
        <f t="array" ref="C18">_xlfn.XLOOKUP(1,(Vendors!$A$2:$A$7=$A18)*(Vendors!$B$2:$B$7=$B18),Vendors!$C$2:$C$7,"")</f>
        <v/>
      </c>
      <c r="D18" s="15" t="str" cm="1">
        <f t="array" ref="D18">_xlfn.XLOOKUP(1,(Vendors!$A$2:$A$7=$A18)*(Vendors!$B$2:$B$7=$B18),Vendors!$D$2:$D$7,"")</f>
        <v/>
      </c>
      <c r="E18" s="15" t="str" cm="1">
        <f t="array" ref="E18">_xlfn.XLOOKUP(1,(Vendors!$A$2:$A$7=$A18)*(Vendors!$B$2:$B$7=$B18),Vendors!$E$2:$E$7,"")</f>
        <v/>
      </c>
      <c r="F18" t="str">
        <f>"Icer Payment Confirmation - "&amp;B18</f>
        <v>Icer Payment Confirmation - 0</v>
      </c>
      <c r="G18" t="str" cm="1">
        <f t="array" ref="G18">+_xlfn.XLOOKUP(1,(Vendors!$A$2:$A$7='Wire Template'!$A18)*(Vendors!$B$2:$B$7='Wire Template'!$B18),Vendors!$F$2:$F$7,"")</f>
        <v/>
      </c>
      <c r="H18" t="s">
        <v>36</v>
      </c>
      <c r="I18" t="s">
        <v>38</v>
      </c>
      <c r="J18" t="s">
        <v>50</v>
      </c>
      <c r="K18" t="s">
        <v>67</v>
      </c>
    </row>
    <row r="19" spans="1:11" x14ac:dyDescent="0.25">
      <c r="A19">
        <f>+Wires!M2</f>
        <v>0</v>
      </c>
      <c r="B19">
        <f>+Wires!M3</f>
        <v>0</v>
      </c>
      <c r="C19" s="15" t="str" cm="1">
        <f t="array" ref="C19">_xlfn.XLOOKUP(1,(Vendors!$A$2:$A$7=$A19)*(Vendors!$B$2:$B$7=$B19),Vendors!$C$2:$C$7,"")</f>
        <v/>
      </c>
      <c r="D19" s="15" t="str" cm="1">
        <f t="array" ref="D19">_xlfn.XLOOKUP(1,(Vendors!$A$2:$A$7=$A19)*(Vendors!$B$2:$B$7=$B19),Vendors!$D$2:$D$7,"")</f>
        <v/>
      </c>
      <c r="E19" s="15" t="str" cm="1">
        <f t="array" ref="E19">_xlfn.XLOOKUP(1,(Vendors!$A$2:$A$7=$A19)*(Vendors!$B$2:$B$7=$B19),Vendors!$E$2:$E$7,"")</f>
        <v/>
      </c>
      <c r="F19" t="str">
        <f>"Icer Payment Confirmation - "&amp;B19</f>
        <v>Icer Payment Confirmation - 0</v>
      </c>
      <c r="G19" t="str" cm="1">
        <f t="array" ref="G19">+_xlfn.XLOOKUP(1,(Vendors!$A$2:$A$7='Wire Template'!$A19)*(Vendors!$B$2:$B$7='Wire Template'!$B19),Vendors!$F$2:$F$7,"")</f>
        <v/>
      </c>
      <c r="H19" t="s">
        <v>36</v>
      </c>
      <c r="I19" t="s">
        <v>38</v>
      </c>
      <c r="J19" t="s">
        <v>51</v>
      </c>
      <c r="K19" t="s">
        <v>67</v>
      </c>
    </row>
    <row r="20" spans="1:11" x14ac:dyDescent="0.25">
      <c r="A20">
        <f>+Wires!N2</f>
        <v>0</v>
      </c>
      <c r="B20">
        <f>+Wires!N3</f>
        <v>0</v>
      </c>
      <c r="C20" s="15" t="str" cm="1">
        <f t="array" ref="C20">_xlfn.XLOOKUP(1,(Vendors!$A$2:$A$7=$A20)*(Vendors!$B$2:$B$7=$B20),Vendors!$C$2:$C$7,"")</f>
        <v/>
      </c>
      <c r="D20" s="15" t="str" cm="1">
        <f t="array" ref="D20">_xlfn.XLOOKUP(1,(Vendors!$A$2:$A$7=$A20)*(Vendors!$B$2:$B$7=$B20),Vendors!$D$2:$D$7,"")</f>
        <v/>
      </c>
      <c r="E20" s="15" t="str" cm="1">
        <f t="array" ref="E20">_xlfn.XLOOKUP(1,(Vendors!$A$2:$A$7=$A20)*(Vendors!$B$2:$B$7=$B20),Vendors!$E$2:$E$7,"")</f>
        <v/>
      </c>
      <c r="F20" t="str">
        <f>"Icer Payment Confirmation - "&amp;B20</f>
        <v>Icer Payment Confirmation - 0</v>
      </c>
      <c r="G20" t="str" cm="1">
        <f t="array" ref="G20">+_xlfn.XLOOKUP(1,(Vendors!$A$2:$A$7='Wire Template'!$A20)*(Vendors!$B$2:$B$7='Wire Template'!$B20),Vendors!$F$2:$F$7,"")</f>
        <v/>
      </c>
      <c r="H20" t="s">
        <v>36</v>
      </c>
      <c r="I20" t="s">
        <v>38</v>
      </c>
      <c r="J20" t="s">
        <v>52</v>
      </c>
      <c r="K20" t="s">
        <v>67</v>
      </c>
    </row>
    <row r="21" spans="1:11" x14ac:dyDescent="0.25">
      <c r="A21">
        <f>+Wires!O2</f>
        <v>0</v>
      </c>
      <c r="B21">
        <f>+Wires!O3</f>
        <v>0</v>
      </c>
      <c r="C21" s="15" t="str" cm="1">
        <f t="array" ref="C21">_xlfn.XLOOKUP(1,(Vendors!$A$2:$A$7=$A21)*(Vendors!$B$2:$B$7=$B21),Vendors!$C$2:$C$7,"")</f>
        <v/>
      </c>
      <c r="D21" s="15" t="str" cm="1">
        <f t="array" ref="D21">_xlfn.XLOOKUP(1,(Vendors!$A$2:$A$7=$A21)*(Vendors!$B$2:$B$7=$B21),Vendors!$D$2:$D$7,"")</f>
        <v/>
      </c>
      <c r="E21" s="15" t="str" cm="1">
        <f t="array" ref="E21">_xlfn.XLOOKUP(1,(Vendors!$A$2:$A$7=$A21)*(Vendors!$B$2:$B$7=$B21),Vendors!$E$2:$E$7,"")</f>
        <v/>
      </c>
      <c r="F21" t="str">
        <f>"Icer Payment Confirmation - "&amp;B21</f>
        <v>Icer Payment Confirmation - 0</v>
      </c>
      <c r="G21" t="str" cm="1">
        <f t="array" ref="G21">+_xlfn.XLOOKUP(1,(Vendors!$A$2:$A$7='Wire Template'!$A21)*(Vendors!$B$2:$B$7='Wire Template'!$B21),Vendors!$F$2:$F$7,"")</f>
        <v/>
      </c>
      <c r="H21" t="s">
        <v>36</v>
      </c>
      <c r="I21" t="s">
        <v>38</v>
      </c>
      <c r="J21" t="s">
        <v>53</v>
      </c>
      <c r="K21" t="s">
        <v>67</v>
      </c>
    </row>
    <row r="22" spans="1:11" x14ac:dyDescent="0.25">
      <c r="A22">
        <f>+Wires!P2</f>
        <v>0</v>
      </c>
      <c r="B22">
        <f>+Wires!P3</f>
        <v>0</v>
      </c>
      <c r="C22" s="15" t="str" cm="1">
        <f t="array" ref="C22">_xlfn.XLOOKUP(1,(Vendors!$A$2:$A$7=$A22)*(Vendors!$B$2:$B$7=$B22),Vendors!$C$2:$C$7,"")</f>
        <v/>
      </c>
      <c r="D22" s="15" t="str" cm="1">
        <f t="array" ref="D22">_xlfn.XLOOKUP(1,(Vendors!$A$2:$A$7=$A22)*(Vendors!$B$2:$B$7=$B22),Vendors!$D$2:$D$7,"")</f>
        <v/>
      </c>
      <c r="E22" s="15" t="str" cm="1">
        <f t="array" ref="E22">_xlfn.XLOOKUP(1,(Vendors!$A$2:$A$7=$A22)*(Vendors!$B$2:$B$7=$B22),Vendors!$E$2:$E$7,"")</f>
        <v/>
      </c>
      <c r="F22" t="str">
        <f>"Icer Payment Confirmation - "&amp;B22</f>
        <v>Icer Payment Confirmation - 0</v>
      </c>
      <c r="G22" t="str" cm="1">
        <f t="array" ref="G22">+_xlfn.XLOOKUP(1,(Vendors!$A$2:$A$7='Wire Template'!$A22)*(Vendors!$B$2:$B$7='Wire Template'!$B22),Vendors!$F$2:$F$7,"")</f>
        <v/>
      </c>
      <c r="H22" t="s">
        <v>36</v>
      </c>
      <c r="I22" t="s">
        <v>38</v>
      </c>
      <c r="J22" t="s">
        <v>54</v>
      </c>
      <c r="K22" t="s">
        <v>67</v>
      </c>
    </row>
    <row r="23" spans="1:11" x14ac:dyDescent="0.25">
      <c r="A23">
        <f>+Wires!Q2</f>
        <v>0</v>
      </c>
      <c r="B23">
        <f>+Wires!Q3</f>
        <v>0</v>
      </c>
      <c r="C23" s="15" t="str" cm="1">
        <f t="array" ref="C23">_xlfn.XLOOKUP(1,(Vendors!$A$2:$A$7=$A23)*(Vendors!$B$2:$B$7=$B23),Vendors!$C$2:$C$7,"")</f>
        <v/>
      </c>
      <c r="D23" s="15" t="str" cm="1">
        <f t="array" ref="D23">_xlfn.XLOOKUP(1,(Vendors!$A$2:$A$7=$A23)*(Vendors!$B$2:$B$7=$B23),Vendors!$D$2:$D$7,"")</f>
        <v/>
      </c>
      <c r="E23" s="15" t="str" cm="1">
        <f t="array" ref="E23">_xlfn.XLOOKUP(1,(Vendors!$A$2:$A$7=$A23)*(Vendors!$B$2:$B$7=$B23),Vendors!$E$2:$E$7,"")</f>
        <v/>
      </c>
      <c r="F23" t="str">
        <f>"Icer Payment Confirmation - "&amp;B23</f>
        <v>Icer Payment Confirmation - 0</v>
      </c>
      <c r="G23" t="str" cm="1">
        <f t="array" ref="G23">+_xlfn.XLOOKUP(1,(Vendors!$A$2:$A$7='Wire Template'!$A23)*(Vendors!$B$2:$B$7='Wire Template'!$B23),Vendors!$F$2:$F$7,"")</f>
        <v/>
      </c>
      <c r="H23" t="s">
        <v>36</v>
      </c>
      <c r="I23" t="s">
        <v>38</v>
      </c>
      <c r="J23" t="s">
        <v>55</v>
      </c>
      <c r="K23" t="s">
        <v>67</v>
      </c>
    </row>
    <row r="24" spans="1:11" x14ac:dyDescent="0.25">
      <c r="A24">
        <f>+Wires!R2</f>
        <v>0</v>
      </c>
      <c r="B24">
        <f>+Wires!R3</f>
        <v>0</v>
      </c>
      <c r="C24" s="15" t="str" cm="1">
        <f t="array" ref="C24">_xlfn.XLOOKUP(1,(Vendors!$A$2:$A$7=$A24)*(Vendors!$B$2:$B$7=$B24),Vendors!$C$2:$C$7,"")</f>
        <v/>
      </c>
      <c r="D24" s="15" t="str" cm="1">
        <f t="array" ref="D24">_xlfn.XLOOKUP(1,(Vendors!$A$2:$A$7=$A24)*(Vendors!$B$2:$B$7=$B24),Vendors!$D$2:$D$7,"")</f>
        <v/>
      </c>
      <c r="E24" s="15" t="str" cm="1">
        <f t="array" ref="E24">_xlfn.XLOOKUP(1,(Vendors!$A$2:$A$7=$A24)*(Vendors!$B$2:$B$7=$B24),Vendors!$E$2:$E$7,"")</f>
        <v/>
      </c>
      <c r="F24" t="str">
        <f>"Icer Payment Confirmation - "&amp;B24</f>
        <v>Icer Payment Confirmation - 0</v>
      </c>
      <c r="G24" t="str" cm="1">
        <f t="array" ref="G24">+_xlfn.XLOOKUP(1,(Vendors!$A$2:$A$7='Wire Template'!$A24)*(Vendors!$B$2:$B$7='Wire Template'!$B24),Vendors!$F$2:$F$7,"")</f>
        <v/>
      </c>
      <c r="H24" t="s">
        <v>36</v>
      </c>
      <c r="I24" t="s">
        <v>38</v>
      </c>
      <c r="J24" t="s">
        <v>56</v>
      </c>
      <c r="K24" t="s">
        <v>67</v>
      </c>
    </row>
    <row r="25" spans="1:11" x14ac:dyDescent="0.25">
      <c r="A25">
        <f>+Wires!S2</f>
        <v>0</v>
      </c>
      <c r="B25">
        <f>+Wires!S3</f>
        <v>0</v>
      </c>
      <c r="C25" s="15" t="str" cm="1">
        <f t="array" ref="C25">_xlfn.XLOOKUP(1,(Vendors!$A$2:$A$7=$A25)*(Vendors!$B$2:$B$7=$B25),Vendors!$C$2:$C$7,"")</f>
        <v/>
      </c>
      <c r="D25" s="15" t="str" cm="1">
        <f t="array" ref="D25">_xlfn.XLOOKUP(1,(Vendors!$A$2:$A$7=$A25)*(Vendors!$B$2:$B$7=$B25),Vendors!$D$2:$D$7,"")</f>
        <v/>
      </c>
      <c r="E25" s="15" t="str" cm="1">
        <f t="array" ref="E25">_xlfn.XLOOKUP(1,(Vendors!$A$2:$A$7=$A25)*(Vendors!$B$2:$B$7=$B25),Vendors!$E$2:$E$7,"")</f>
        <v/>
      </c>
      <c r="F25" t="str">
        <f>"Icer Payment Confirmation - "&amp;B25</f>
        <v>Icer Payment Confirmation - 0</v>
      </c>
      <c r="G25" t="str" cm="1">
        <f t="array" ref="G25">+_xlfn.XLOOKUP(1,(Vendors!$A$2:$A$7='Wire Template'!$A25)*(Vendors!$B$2:$B$7='Wire Template'!$B25),Vendors!$F$2:$F$7,"")</f>
        <v/>
      </c>
      <c r="H25" t="s">
        <v>36</v>
      </c>
      <c r="I25" t="s">
        <v>38</v>
      </c>
      <c r="J25" t="s">
        <v>57</v>
      </c>
      <c r="K25" t="s">
        <v>67</v>
      </c>
    </row>
    <row r="26" spans="1:11" x14ac:dyDescent="0.25">
      <c r="A26">
        <f>+Wires!T2</f>
        <v>0</v>
      </c>
      <c r="B26">
        <f>+Wires!T3</f>
        <v>0</v>
      </c>
      <c r="C26" s="15" t="str" cm="1">
        <f t="array" ref="C26">_xlfn.XLOOKUP(1,(Vendors!$A$2:$A$7=$A26)*(Vendors!$B$2:$B$7=$B26),Vendors!$C$2:$C$7,"")</f>
        <v/>
      </c>
      <c r="D26" s="15" t="str" cm="1">
        <f t="array" ref="D26">_xlfn.XLOOKUP(1,(Vendors!$A$2:$A$7=$A26)*(Vendors!$B$2:$B$7=$B26),Vendors!$D$2:$D$7,"")</f>
        <v/>
      </c>
      <c r="E26" s="15" t="str" cm="1">
        <f t="array" ref="E26">_xlfn.XLOOKUP(1,(Vendors!$A$2:$A$7=$A26)*(Vendors!$B$2:$B$7=$B26),Vendors!$E$2:$E$7,"")</f>
        <v/>
      </c>
      <c r="F26" t="str">
        <f>"Icer Payment Confirmation - "&amp;B26</f>
        <v>Icer Payment Confirmation - 0</v>
      </c>
      <c r="G26" t="str" cm="1">
        <f t="array" ref="G26">+_xlfn.XLOOKUP(1,(Vendors!$A$2:$A$7='Wire Template'!$A26)*(Vendors!$B$2:$B$7='Wire Template'!$B26),Vendors!$F$2:$F$7,"")</f>
        <v/>
      </c>
      <c r="H26" t="s">
        <v>36</v>
      </c>
      <c r="I26" t="s">
        <v>38</v>
      </c>
      <c r="J26" t="s">
        <v>58</v>
      </c>
    </row>
    <row r="27" spans="1:11" x14ac:dyDescent="0.25">
      <c r="A27">
        <f>+Wires!U2</f>
        <v>0</v>
      </c>
      <c r="B27">
        <f>+Wires!U3</f>
        <v>0</v>
      </c>
      <c r="C27" s="15" t="str" cm="1">
        <f t="array" ref="C27">_xlfn.XLOOKUP(1,(Vendors!$A$2:$A$7=$A27)*(Vendors!$B$2:$B$7=$B27),Vendors!$C$2:$C$7,"")</f>
        <v/>
      </c>
      <c r="D27" s="15" t="str" cm="1">
        <f t="array" ref="D27">_xlfn.XLOOKUP(1,(Vendors!$A$2:$A$7=$A27)*(Vendors!$B$2:$B$7=$B27),Vendors!$D$2:$D$7,"")</f>
        <v/>
      </c>
      <c r="E27" s="15" t="str" cm="1">
        <f t="array" ref="E27">_xlfn.XLOOKUP(1,(Vendors!$A$2:$A$7=$A27)*(Vendors!$B$2:$B$7=$B27),Vendors!$E$2:$E$7,"")</f>
        <v/>
      </c>
      <c r="F27" t="str">
        <f>"Icer Payment Confirmation - "&amp;B27</f>
        <v>Icer Payment Confirmation - 0</v>
      </c>
      <c r="G27" t="str" cm="1">
        <f t="array" ref="G27">+_xlfn.XLOOKUP(1,(Vendors!$A$2:$A$7='Wire Template'!$A27)*(Vendors!$B$2:$B$7='Wire Template'!$B27),Vendors!$F$2:$F$7,"")</f>
        <v/>
      </c>
      <c r="H27" t="s">
        <v>36</v>
      </c>
      <c r="I27" t="s">
        <v>38</v>
      </c>
      <c r="J27" t="s">
        <v>59</v>
      </c>
    </row>
    <row r="28" spans="1:11" x14ac:dyDescent="0.25">
      <c r="A28">
        <f>+Wires!V2</f>
        <v>0</v>
      </c>
      <c r="B28">
        <f>+Wires!V3</f>
        <v>0</v>
      </c>
      <c r="C28" s="15" t="str" cm="1">
        <f t="array" ref="C28">_xlfn.XLOOKUP(1,(Vendors!$A$2:$A$7=$A28)*(Vendors!$B$2:$B$7=$B28),Vendors!$C$2:$C$7,"")</f>
        <v/>
      </c>
      <c r="D28" s="15" t="str" cm="1">
        <f t="array" ref="D28">_xlfn.XLOOKUP(1,(Vendors!$A$2:$A$7=$A28)*(Vendors!$B$2:$B$7=$B28),Vendors!$D$2:$D$7,"")</f>
        <v/>
      </c>
      <c r="E28" s="15" t="str" cm="1">
        <f t="array" ref="E28">_xlfn.XLOOKUP(1,(Vendors!$A$2:$A$7=$A28)*(Vendors!$B$2:$B$7=$B28),Vendors!$E$2:$E$7,"")</f>
        <v/>
      </c>
      <c r="F28" t="str">
        <f>"Icer Payment Confirmation - "&amp;B28</f>
        <v>Icer Payment Confirmation - 0</v>
      </c>
      <c r="G28" t="str" cm="1">
        <f t="array" ref="G28">+_xlfn.XLOOKUP(1,(Vendors!$A$2:$A$7='Wire Template'!$A28)*(Vendors!$B$2:$B$7='Wire Template'!$B28),Vendors!$F$2:$F$7,"")</f>
        <v/>
      </c>
      <c r="H28" t="s">
        <v>36</v>
      </c>
      <c r="I28" t="s">
        <v>38</v>
      </c>
      <c r="J28" t="s">
        <v>60</v>
      </c>
    </row>
    <row r="29" spans="1:11" x14ac:dyDescent="0.25">
      <c r="A29">
        <f>+Wires!W2</f>
        <v>0</v>
      </c>
      <c r="B29">
        <f>+Wires!W3</f>
        <v>0</v>
      </c>
      <c r="C29" s="15" t="str" cm="1">
        <f t="array" ref="C29">_xlfn.XLOOKUP(1,(Vendors!$A$2:$A$7=$A29)*(Vendors!$B$2:$B$7=$B29),Vendors!$C$2:$C$7,"")</f>
        <v/>
      </c>
      <c r="D29" s="15" t="str" cm="1">
        <f t="array" ref="D29">_xlfn.XLOOKUP(1,(Vendors!$A$2:$A$7=$A29)*(Vendors!$B$2:$B$7=$B29),Vendors!$D$2:$D$7,"")</f>
        <v/>
      </c>
      <c r="E29" s="15" t="str" cm="1">
        <f t="array" ref="E29">_xlfn.XLOOKUP(1,(Vendors!$A$2:$A$7=$A29)*(Vendors!$B$2:$B$7=$B29),Vendors!$E$2:$E$7,"")</f>
        <v/>
      </c>
      <c r="F29" t="str">
        <f>"Icer Payment Confirmation - "&amp;B29</f>
        <v>Icer Payment Confirmation - 0</v>
      </c>
      <c r="G29" t="str" cm="1">
        <f t="array" ref="G29">+_xlfn.XLOOKUP(1,(Vendors!$A$2:$A$7='Wire Template'!$A29)*(Vendors!$B$2:$B$7='Wire Template'!$B29),Vendors!$F$2:$F$7,"")</f>
        <v/>
      </c>
      <c r="H29" t="s">
        <v>36</v>
      </c>
      <c r="I29" t="s">
        <v>38</v>
      </c>
      <c r="J29" t="s">
        <v>61</v>
      </c>
    </row>
    <row r="30" spans="1:11" x14ac:dyDescent="0.25">
      <c r="A30">
        <f>+Wires!X2</f>
        <v>0</v>
      </c>
      <c r="B30">
        <f>+Wires!X3</f>
        <v>0</v>
      </c>
      <c r="C30" s="15" t="str" cm="1">
        <f t="array" ref="C30">_xlfn.XLOOKUP(1,(Vendors!$A$2:$A$7=$A30)*(Vendors!$B$2:$B$7=$B30),Vendors!$C$2:$C$7,"")</f>
        <v/>
      </c>
      <c r="D30" s="15" t="str" cm="1">
        <f t="array" ref="D30">_xlfn.XLOOKUP(1,(Vendors!$A$2:$A$7=$A30)*(Vendors!$B$2:$B$7=$B30),Vendors!$D$2:$D$7,"")</f>
        <v/>
      </c>
      <c r="E30" s="15" t="str" cm="1">
        <f t="array" ref="E30">_xlfn.XLOOKUP(1,(Vendors!$A$2:$A$7=$A30)*(Vendors!$B$2:$B$7=$B30),Vendors!$E$2:$E$7,"")</f>
        <v/>
      </c>
      <c r="F30" t="str">
        <f>"Icer Payment Confirmation - "&amp;B30</f>
        <v>Icer Payment Confirmation - 0</v>
      </c>
      <c r="G30" t="str" cm="1">
        <f t="array" ref="G30">+_xlfn.XLOOKUP(1,(Vendors!$A$2:$A$7='Wire Template'!$A30)*(Vendors!$B$2:$B$7='Wire Template'!$B30),Vendors!$F$2:$F$7,"")</f>
        <v/>
      </c>
      <c r="H30" t="s">
        <v>36</v>
      </c>
      <c r="I30" t="s">
        <v>38</v>
      </c>
      <c r="J30" t="s">
        <v>62</v>
      </c>
    </row>
    <row r="31" spans="1:11" x14ac:dyDescent="0.25">
      <c r="A31">
        <f>+Wires!Y2</f>
        <v>0</v>
      </c>
      <c r="B31">
        <f>+Wires!Y3</f>
        <v>0</v>
      </c>
      <c r="C31" s="15" t="str" cm="1">
        <f t="array" ref="C31">_xlfn.XLOOKUP(1,(Vendors!$A$2:$A$7=$A31)*(Vendors!$B$2:$B$7=$B31),Vendors!$C$2:$C$7,"")</f>
        <v/>
      </c>
      <c r="D31" s="15" t="str" cm="1">
        <f t="array" ref="D31">_xlfn.XLOOKUP(1,(Vendors!$A$2:$A$7=$A31)*(Vendors!$B$2:$B$7=$B31),Vendors!$D$2:$D$7,"")</f>
        <v/>
      </c>
      <c r="E31" s="15" t="str" cm="1">
        <f t="array" ref="E31">_xlfn.XLOOKUP(1,(Vendors!$A$2:$A$7=$A31)*(Vendors!$B$2:$B$7=$B31),Vendors!$E$2:$E$7,"")</f>
        <v/>
      </c>
      <c r="F31" t="str">
        <f>"Icer Payment Confirmation - "&amp;B31</f>
        <v>Icer Payment Confirmation - 0</v>
      </c>
      <c r="G31" t="str" cm="1">
        <f t="array" ref="G31">+_xlfn.XLOOKUP(1,(Vendors!$A$2:$A$7='Wire Template'!$A31)*(Vendors!$B$2:$B$7='Wire Template'!$B31),Vendors!$F$2:$F$7,"")</f>
        <v/>
      </c>
      <c r="H31" t="s">
        <v>36</v>
      </c>
      <c r="I31" t="s">
        <v>38</v>
      </c>
      <c r="J31" t="s">
        <v>63</v>
      </c>
    </row>
    <row r="32" spans="1:11" x14ac:dyDescent="0.25">
      <c r="A32">
        <f>+Wires!Z2</f>
        <v>0</v>
      </c>
      <c r="B32">
        <f>+Wires!Z3</f>
        <v>0</v>
      </c>
      <c r="C32" s="15" t="str" cm="1">
        <f t="array" ref="C32">_xlfn.XLOOKUP(1,(Vendors!$A$2:$A$7=$A32)*(Vendors!$B$2:$B$7=$B32),Vendors!$C$2:$C$7,"")</f>
        <v/>
      </c>
      <c r="D32" s="15" t="str" cm="1">
        <f t="array" ref="D32">_xlfn.XLOOKUP(1,(Vendors!$A$2:$A$7=$A32)*(Vendors!$B$2:$B$7=$B32),Vendors!$D$2:$D$7,"")</f>
        <v/>
      </c>
      <c r="E32" s="15" t="str" cm="1">
        <f t="array" ref="E32">_xlfn.XLOOKUP(1,(Vendors!$A$2:$A$7=$A32)*(Vendors!$B$2:$B$7=$B32),Vendors!$E$2:$E$7,"")</f>
        <v/>
      </c>
      <c r="F32" t="str">
        <f>"Icer Payment Confirmation - "&amp;B32</f>
        <v>Icer Payment Confirmation - 0</v>
      </c>
      <c r="G32" t="str" cm="1">
        <f t="array" ref="G32">+_xlfn.XLOOKUP(1,(Vendors!$A$2:$A$7='Wire Template'!$A32)*(Vendors!$B$2:$B$7='Wire Template'!$B32),Vendors!$F$2:$F$7,"")</f>
        <v/>
      </c>
      <c r="H32" t="s">
        <v>36</v>
      </c>
      <c r="I32" t="s">
        <v>38</v>
      </c>
      <c r="J32" t="s">
        <v>64</v>
      </c>
    </row>
  </sheetData>
  <phoneticPr fontId="1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Wire_emails">
                <anchor moveWithCells="1" sizeWithCells="1">
                  <from>
                    <xdr:col>0</xdr:col>
                    <xdr:colOff>600075</xdr:colOff>
                    <xdr:row>0</xdr:row>
                    <xdr:rowOff>180975</xdr:rowOff>
                  </from>
                  <to>
                    <xdr:col>1</xdr:col>
                    <xdr:colOff>3000375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E315F-6F1D-4066-A0FE-5F24E287AFBE}">
  <sheetPr codeName="Sheet3">
    <pageSetUpPr fitToPage="1"/>
  </sheetPr>
  <dimension ref="A1:H61"/>
  <sheetViews>
    <sheetView zoomScaleNormal="100" workbookViewId="0">
      <selection activeCell="B2" sqref="B2:B7"/>
    </sheetView>
  </sheetViews>
  <sheetFormatPr defaultRowHeight="15" x14ac:dyDescent="0.25"/>
  <cols>
    <col min="1" max="1" width="11.85546875" bestFit="1" customWidth="1"/>
    <col min="2" max="2" width="48.42578125" bestFit="1" customWidth="1"/>
    <col min="3" max="3" width="29.28515625" style="17" customWidth="1"/>
    <col min="4" max="4" width="23.42578125" bestFit="1" customWidth="1"/>
    <col min="5" max="5" width="21.5703125" bestFit="1" customWidth="1"/>
    <col min="6" max="6" width="21.5703125" customWidth="1"/>
    <col min="7" max="8" width="20.140625" bestFit="1" customWidth="1"/>
    <col min="11" max="11" width="4.28515625" bestFit="1" customWidth="1"/>
    <col min="12" max="12" width="21.5703125" bestFit="1" customWidth="1"/>
    <col min="13" max="13" width="15.85546875" customWidth="1"/>
  </cols>
  <sheetData>
    <row r="1" spans="1:8" x14ac:dyDescent="0.25">
      <c r="A1" s="8" t="s">
        <v>28</v>
      </c>
      <c r="B1" s="8" t="s">
        <v>27</v>
      </c>
      <c r="C1" s="9" t="s">
        <v>29</v>
      </c>
      <c r="D1" s="8" t="s">
        <v>30</v>
      </c>
      <c r="E1" s="10" t="s">
        <v>31</v>
      </c>
      <c r="F1" s="10" t="s">
        <v>24</v>
      </c>
      <c r="G1" s="8" t="s">
        <v>32</v>
      </c>
      <c r="H1" s="6"/>
    </row>
    <row r="2" spans="1:8" x14ac:dyDescent="0.25">
      <c r="A2" s="8" t="s">
        <v>75</v>
      </c>
      <c r="B2" s="8" t="s">
        <v>76</v>
      </c>
      <c r="C2" s="18" t="s">
        <v>77</v>
      </c>
      <c r="D2" s="21" t="s">
        <v>78</v>
      </c>
      <c r="E2" s="21"/>
      <c r="F2" s="20" t="s">
        <v>33</v>
      </c>
      <c r="G2" s="22" t="s">
        <v>79</v>
      </c>
      <c r="H2" s="11"/>
    </row>
    <row r="3" spans="1:8" x14ac:dyDescent="0.25">
      <c r="A3" s="8" t="s">
        <v>75</v>
      </c>
      <c r="B3" s="8" t="s">
        <v>80</v>
      </c>
      <c r="C3" s="21" t="s">
        <v>81</v>
      </c>
      <c r="D3" s="12"/>
      <c r="E3" s="12"/>
      <c r="F3" s="12" t="s">
        <v>33</v>
      </c>
      <c r="G3" s="19" t="s">
        <v>82</v>
      </c>
      <c r="H3" s="11"/>
    </row>
    <row r="4" spans="1:8" x14ac:dyDescent="0.25">
      <c r="A4" s="8" t="s">
        <v>83</v>
      </c>
      <c r="B4" s="8" t="s">
        <v>76</v>
      </c>
      <c r="C4" s="18" t="s">
        <v>84</v>
      </c>
      <c r="D4" s="21"/>
      <c r="E4" s="21"/>
      <c r="F4" s="20" t="s">
        <v>33</v>
      </c>
      <c r="G4" s="19" t="s">
        <v>85</v>
      </c>
      <c r="H4" s="11"/>
    </row>
    <row r="5" spans="1:8" x14ac:dyDescent="0.25">
      <c r="A5" s="8" t="s">
        <v>83</v>
      </c>
      <c r="B5" s="8" t="s">
        <v>86</v>
      </c>
      <c r="C5" s="18" t="s">
        <v>87</v>
      </c>
      <c r="D5" s="21" t="s">
        <v>88</v>
      </c>
      <c r="E5" s="21"/>
      <c r="F5" s="20" t="s">
        <v>33</v>
      </c>
      <c r="G5" s="19" t="s">
        <v>89</v>
      </c>
      <c r="H5" s="11"/>
    </row>
    <row r="6" spans="1:8" x14ac:dyDescent="0.25">
      <c r="A6" s="12" t="s">
        <v>90</v>
      </c>
      <c r="B6" s="8" t="s">
        <v>80</v>
      </c>
      <c r="C6" s="18" t="s">
        <v>91</v>
      </c>
      <c r="D6" s="21"/>
      <c r="E6" s="21" t="s">
        <v>92</v>
      </c>
      <c r="F6" s="20" t="s">
        <v>33</v>
      </c>
      <c r="G6" s="19" t="s">
        <v>93</v>
      </c>
      <c r="H6" s="11"/>
    </row>
    <row r="7" spans="1:8" x14ac:dyDescent="0.25">
      <c r="A7" s="12" t="s">
        <v>90</v>
      </c>
      <c r="B7" s="8" t="s">
        <v>94</v>
      </c>
      <c r="C7" s="21" t="s">
        <v>95</v>
      </c>
      <c r="D7" s="12"/>
      <c r="E7" s="12"/>
      <c r="F7" s="12" t="s">
        <v>33</v>
      </c>
      <c r="G7" s="13" t="s">
        <v>96</v>
      </c>
      <c r="H7" s="14"/>
    </row>
    <row r="8" spans="1:8" x14ac:dyDescent="0.25">
      <c r="H8" s="14"/>
    </row>
    <row r="9" spans="1:8" x14ac:dyDescent="0.25">
      <c r="H9" s="14"/>
    </row>
    <row r="12" spans="1:8" x14ac:dyDescent="0.25">
      <c r="H12" s="14"/>
    </row>
    <row r="13" spans="1:8" x14ac:dyDescent="0.25">
      <c r="H13" s="11"/>
    </row>
    <row r="14" spans="1:8" x14ac:dyDescent="0.25">
      <c r="H14" s="11"/>
    </row>
    <row r="15" spans="1:8" x14ac:dyDescent="0.25">
      <c r="H15" s="11"/>
    </row>
    <row r="16" spans="1:8" x14ac:dyDescent="0.25">
      <c r="H16" s="11"/>
    </row>
    <row r="17" spans="8:8" x14ac:dyDescent="0.25">
      <c r="H17" s="11"/>
    </row>
    <row r="18" spans="8:8" x14ac:dyDescent="0.25">
      <c r="H18" s="11"/>
    </row>
    <row r="21" spans="8:8" x14ac:dyDescent="0.25">
      <c r="H21" s="14"/>
    </row>
    <row r="22" spans="8:8" x14ac:dyDescent="0.25">
      <c r="H22" s="14"/>
    </row>
    <row r="25" spans="8:8" x14ac:dyDescent="0.25">
      <c r="H25" s="14"/>
    </row>
    <row r="26" spans="8:8" x14ac:dyDescent="0.25">
      <c r="H26" s="14"/>
    </row>
    <row r="27" spans="8:8" x14ac:dyDescent="0.25">
      <c r="H27" s="14"/>
    </row>
    <row r="28" spans="8:8" x14ac:dyDescent="0.25">
      <c r="H28" s="14"/>
    </row>
    <row r="29" spans="8:8" x14ac:dyDescent="0.25">
      <c r="H29" s="14"/>
    </row>
    <row r="30" spans="8:8" x14ac:dyDescent="0.25">
      <c r="H30" s="14"/>
    </row>
    <row r="31" spans="8:8" x14ac:dyDescent="0.25">
      <c r="H31" s="14"/>
    </row>
    <row r="32" spans="8:8" x14ac:dyDescent="0.25">
      <c r="H32" s="14"/>
    </row>
    <row r="33" spans="8:8" x14ac:dyDescent="0.25">
      <c r="H33" s="14"/>
    </row>
    <row r="34" spans="8:8" x14ac:dyDescent="0.25">
      <c r="H34" s="11"/>
    </row>
    <row r="37" spans="8:8" x14ac:dyDescent="0.25">
      <c r="H37" s="14"/>
    </row>
    <row r="38" spans="8:8" x14ac:dyDescent="0.25">
      <c r="H38" s="16"/>
    </row>
    <row r="39" spans="8:8" x14ac:dyDescent="0.25">
      <c r="H39" s="16"/>
    </row>
    <row r="40" spans="8:8" x14ac:dyDescent="0.25">
      <c r="H40" s="16"/>
    </row>
    <row r="41" spans="8:8" x14ac:dyDescent="0.25">
      <c r="H41" s="14"/>
    </row>
    <row r="42" spans="8:8" x14ac:dyDescent="0.25">
      <c r="H42" s="14"/>
    </row>
    <row r="44" spans="8:8" x14ac:dyDescent="0.25">
      <c r="H44" s="16"/>
    </row>
    <row r="45" spans="8:8" x14ac:dyDescent="0.25">
      <c r="H45" s="16"/>
    </row>
    <row r="46" spans="8:8" x14ac:dyDescent="0.25">
      <c r="H46" s="14"/>
    </row>
    <row r="47" spans="8:8" x14ac:dyDescent="0.25">
      <c r="H47" s="11"/>
    </row>
    <row r="48" spans="8:8" x14ac:dyDescent="0.25">
      <c r="H48" s="14"/>
    </row>
    <row r="49" spans="8:8" x14ac:dyDescent="0.25">
      <c r="H49" s="6"/>
    </row>
    <row r="54" spans="8:8" x14ac:dyDescent="0.25">
      <c r="H54" s="16"/>
    </row>
    <row r="55" spans="8:8" x14ac:dyDescent="0.25">
      <c r="H55" s="16"/>
    </row>
    <row r="56" spans="8:8" x14ac:dyDescent="0.25">
      <c r="H56" s="16"/>
    </row>
    <row r="57" spans="8:8" x14ac:dyDescent="0.25">
      <c r="H57" s="16"/>
    </row>
    <row r="58" spans="8:8" x14ac:dyDescent="0.25">
      <c r="H58" s="11"/>
    </row>
    <row r="59" spans="8:8" x14ac:dyDescent="0.25">
      <c r="H59" s="11"/>
    </row>
    <row r="60" spans="8:8" x14ac:dyDescent="0.25">
      <c r="H60" s="16"/>
    </row>
    <row r="61" spans="8:8" x14ac:dyDescent="0.25">
      <c r="H61" s="16"/>
    </row>
  </sheetData>
  <autoFilter ref="A1:H61" xr:uid="{0C1BDA18-B8BA-4367-BE48-76E5D254EC0F}"/>
  <pageMargins left="0.7" right="0.7" top="0.75" bottom="0.75" header="0.3" footer="0.3"/>
  <pageSetup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3CC5-66FF-4897-BE9B-9944AD6D1AE7}">
  <sheetPr codeName="Sheet4"/>
  <dimension ref="A1:B4"/>
  <sheetViews>
    <sheetView workbookViewId="0">
      <selection activeCell="A4" sqref="A4"/>
    </sheetView>
  </sheetViews>
  <sheetFormatPr defaultRowHeight="15" x14ac:dyDescent="0.25"/>
  <cols>
    <col min="1" max="1" width="39.5703125" customWidth="1"/>
  </cols>
  <sheetData>
    <row r="1" spans="1:2" x14ac:dyDescent="0.25">
      <c r="A1" t="s">
        <v>34</v>
      </c>
      <c r="B1" t="s">
        <v>68</v>
      </c>
    </row>
    <row r="2" spans="1:2" x14ac:dyDescent="0.25">
      <c r="A2" s="2" t="s">
        <v>69</v>
      </c>
      <c r="B2" t="s">
        <v>72</v>
      </c>
    </row>
    <row r="3" spans="1:2" x14ac:dyDescent="0.25">
      <c r="A3" s="2" t="s">
        <v>70</v>
      </c>
      <c r="B3" t="s">
        <v>73</v>
      </c>
    </row>
    <row r="4" spans="1:2" x14ac:dyDescent="0.25">
      <c r="A4" s="2" t="s">
        <v>71</v>
      </c>
      <c r="B4" t="s">
        <v>74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Wires</vt:lpstr>
      <vt:lpstr>Wire Template</vt:lpstr>
      <vt:lpstr>Vendors</vt:lpstr>
      <vt:lpstr>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2026-08-19T19:22:18Z</dcterms:created>
  <dcterms:modified xsi:type="dcterms:W3CDTF">2026-08-19T19:38:05Z</dcterms:modified>
</cp:coreProperties>
</file>